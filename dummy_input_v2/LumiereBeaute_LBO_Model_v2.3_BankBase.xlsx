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takahiro.kubo/Desktop/JSOL_code/business-plan-verification/dummy_input_v2/"/>
    </mc:Choice>
  </mc:AlternateContent>
  <xr:revisionPtr revIDLastSave="0" documentId="13_ncr:1_{E05D2559-8995-8944-BAA9-62C206FE1644}" xr6:coauthVersionLast="47" xr6:coauthVersionMax="47" xr10:uidLastSave="{00000000-0000-0000-0000-000000000000}"/>
  <bookViews>
    <workbookView xWindow="2140" yWindow="1040" windowWidth="24600" windowHeight="16320" activeTab="2" xr2:uid="{00000000-000D-0000-FFFF-FFFF00000000}"/>
  </bookViews>
  <sheets>
    <sheet name="Cover" sheetId="1" r:id="rId1"/>
    <sheet name="inp" sheetId="2" r:id="rId2"/>
    <sheet name="PL" sheetId="3" r:id="rId3"/>
    <sheet name="BS" sheetId="4" r:id="rId4"/>
    <sheet name="CF" sheetId="5" r:id="rId5"/>
    <sheet name="debt" sheetId="6" r:id="rId6"/>
    <sheet name="memo"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3" i="3" l="1"/>
  <c r="J11" i="6"/>
  <c r="I11" i="6"/>
  <c r="H11" i="6"/>
  <c r="G11" i="6"/>
  <c r="F11" i="6"/>
  <c r="J8" i="6"/>
  <c r="I8" i="6"/>
  <c r="H8" i="6"/>
  <c r="G8" i="6"/>
  <c r="F8" i="6"/>
  <c r="F7" i="6"/>
  <c r="F9" i="6" s="1"/>
  <c r="E17" i="5"/>
  <c r="D17" i="5"/>
  <c r="C17" i="5"/>
  <c r="J15" i="5"/>
  <c r="J17" i="5" s="1"/>
  <c r="I15" i="5"/>
  <c r="I17" i="5" s="1"/>
  <c r="H15" i="5"/>
  <c r="H17" i="5" s="1"/>
  <c r="G15" i="5"/>
  <c r="G17" i="5" s="1"/>
  <c r="F15" i="5"/>
  <c r="F17" i="5" s="1"/>
  <c r="J12" i="5"/>
  <c r="I12" i="5"/>
  <c r="H12" i="5"/>
  <c r="G12" i="5"/>
  <c r="F12" i="5"/>
  <c r="J8" i="5"/>
  <c r="I8" i="5"/>
  <c r="H8" i="5"/>
  <c r="G8" i="5"/>
  <c r="F8" i="5"/>
  <c r="E8" i="5"/>
  <c r="D8" i="5"/>
  <c r="C8" i="5"/>
  <c r="E22" i="4"/>
  <c r="E19" i="4"/>
  <c r="D19" i="4"/>
  <c r="D22" i="4" s="1"/>
  <c r="C19" i="4"/>
  <c r="C22" i="4" s="1"/>
  <c r="E14" i="4"/>
  <c r="D14" i="4"/>
  <c r="C14" i="4"/>
  <c r="F11" i="4"/>
  <c r="G11" i="4" s="1"/>
  <c r="H11" i="4" s="1"/>
  <c r="I11" i="4" s="1"/>
  <c r="J11" i="4" s="1"/>
  <c r="E20" i="3"/>
  <c r="D20" i="3"/>
  <c r="D21" i="3" s="1"/>
  <c r="C20" i="3"/>
  <c r="E13" i="3"/>
  <c r="E21" i="3" s="1"/>
  <c r="D13" i="3"/>
  <c r="D14" i="3" s="1"/>
  <c r="E10" i="3"/>
  <c r="D10" i="3"/>
  <c r="C10" i="3"/>
  <c r="C13" i="3" s="1"/>
  <c r="J8" i="3"/>
  <c r="I8" i="3"/>
  <c r="H8" i="3"/>
  <c r="G8" i="3"/>
  <c r="F8" i="3"/>
  <c r="F10" i="3" s="1"/>
  <c r="G7" i="3"/>
  <c r="G10" i="3" s="1"/>
  <c r="F7" i="3"/>
  <c r="G30" i="2"/>
  <c r="H30" i="2" s="1"/>
  <c r="F30" i="2"/>
  <c r="H7" i="3" l="1"/>
  <c r="H10" i="3" s="1"/>
  <c r="I30" i="2"/>
  <c r="C21" i="3"/>
  <c r="C14" i="3"/>
  <c r="G8" i="4"/>
  <c r="G12" i="3"/>
  <c r="G9" i="4" s="1"/>
  <c r="G16" i="3"/>
  <c r="G20" i="3" s="1"/>
  <c r="G17" i="3"/>
  <c r="E25" i="3"/>
  <c r="E26" i="3" s="1"/>
  <c r="E22" i="3"/>
  <c r="E30" i="3"/>
  <c r="F18" i="4"/>
  <c r="F19" i="4" s="1"/>
  <c r="F22" i="4" s="1"/>
  <c r="G7" i="6"/>
  <c r="F8" i="4"/>
  <c r="F12" i="3"/>
  <c r="F9" i="4" s="1"/>
  <c r="F16" i="3"/>
  <c r="F17" i="3"/>
  <c r="D22" i="3"/>
  <c r="D25" i="3"/>
  <c r="D26" i="3" s="1"/>
  <c r="D30" i="3"/>
  <c r="E14" i="3"/>
  <c r="F10" i="6"/>
  <c r="F12" i="6" s="1"/>
  <c r="F28" i="3" s="1"/>
  <c r="F14" i="3" l="1"/>
  <c r="C25" i="3"/>
  <c r="C26" i="3" s="1"/>
  <c r="C22" i="3"/>
  <c r="C30" i="3"/>
  <c r="D32" i="3"/>
  <c r="D7" i="5" s="1"/>
  <c r="D10" i="5" s="1"/>
  <c r="D13" i="5" s="1"/>
  <c r="D19" i="5" s="1"/>
  <c r="D31" i="3"/>
  <c r="G13" i="3"/>
  <c r="F20" i="3"/>
  <c r="F21" i="3" s="1"/>
  <c r="I7" i="3"/>
  <c r="I10" i="3" s="1"/>
  <c r="J30" i="2"/>
  <c r="J7" i="3" s="1"/>
  <c r="J10" i="3" s="1"/>
  <c r="G9" i="6"/>
  <c r="E31" i="3"/>
  <c r="E32" i="3" s="1"/>
  <c r="E7" i="5" s="1"/>
  <c r="E10" i="5" s="1"/>
  <c r="E13" i="5" s="1"/>
  <c r="E19" i="5" s="1"/>
  <c r="H16" i="3"/>
  <c r="H20" i="3" s="1"/>
  <c r="H17" i="3"/>
  <c r="H12" i="3"/>
  <c r="H9" i="4" s="1"/>
  <c r="H8" i="4"/>
  <c r="F30" i="3" l="1"/>
  <c r="F22" i="3"/>
  <c r="F25" i="3"/>
  <c r="F26" i="3" s="1"/>
  <c r="E21" i="5"/>
  <c r="C31" i="3"/>
  <c r="C32" i="3"/>
  <c r="C7" i="5" s="1"/>
  <c r="C10" i="5" s="1"/>
  <c r="C13" i="5" s="1"/>
  <c r="C19" i="5" s="1"/>
  <c r="C21" i="5" s="1"/>
  <c r="D20" i="5" s="1"/>
  <c r="G14" i="3"/>
  <c r="G21" i="3"/>
  <c r="G18" i="4"/>
  <c r="G19" i="4" s="1"/>
  <c r="G22" i="4" s="1"/>
  <c r="H7" i="6"/>
  <c r="J16" i="3"/>
  <c r="J17" i="3"/>
  <c r="J8" i="4"/>
  <c r="J12" i="3"/>
  <c r="J9" i="4" s="1"/>
  <c r="H13" i="3"/>
  <c r="I16" i="3"/>
  <c r="I17" i="3"/>
  <c r="I12" i="3"/>
  <c r="I9" i="4" s="1"/>
  <c r="I8" i="4"/>
  <c r="D21" i="5"/>
  <c r="E20" i="5" s="1"/>
  <c r="G10" i="6"/>
  <c r="G12" i="6" s="1"/>
  <c r="G28" i="3" s="1"/>
  <c r="H21" i="3" l="1"/>
  <c r="H14" i="3"/>
  <c r="G30" i="3"/>
  <c r="G25" i="3"/>
  <c r="G26" i="3" s="1"/>
  <c r="G22" i="3"/>
  <c r="J13" i="3"/>
  <c r="H9" i="6"/>
  <c r="H10" i="6"/>
  <c r="H12" i="6" s="1"/>
  <c r="H28" i="3" s="1"/>
  <c r="I13" i="3"/>
  <c r="J20" i="3"/>
  <c r="I20" i="3"/>
  <c r="F32" i="3"/>
  <c r="F7" i="5" s="1"/>
  <c r="F10" i="5" s="1"/>
  <c r="F13" i="5" s="1"/>
  <c r="F19" i="5" s="1"/>
  <c r="F21" i="5" s="1"/>
  <c r="F31" i="3"/>
  <c r="G20" i="5" l="1"/>
  <c r="F7" i="4"/>
  <c r="F14" i="4" s="1"/>
  <c r="G31" i="3"/>
  <c r="G32" i="3" s="1"/>
  <c r="G7" i="5" s="1"/>
  <c r="G10" i="5" s="1"/>
  <c r="G13" i="5" s="1"/>
  <c r="G19" i="5" s="1"/>
  <c r="G21" i="5" s="1"/>
  <c r="H18" i="4"/>
  <c r="H19" i="4" s="1"/>
  <c r="H22" i="4" s="1"/>
  <c r="I7" i="6"/>
  <c r="J21" i="3"/>
  <c r="J14" i="3"/>
  <c r="I21" i="3"/>
  <c r="I14" i="3"/>
  <c r="H30" i="3"/>
  <c r="H25" i="3"/>
  <c r="H26" i="3" s="1"/>
  <c r="H22" i="3"/>
  <c r="H20" i="5" l="1"/>
  <c r="G7" i="4"/>
  <c r="G14" i="4" s="1"/>
  <c r="J25" i="3"/>
  <c r="J26" i="3" s="1"/>
  <c r="J22" i="3"/>
  <c r="I9" i="6"/>
  <c r="I10" i="6"/>
  <c r="I12" i="6" s="1"/>
  <c r="I28" i="3" s="1"/>
  <c r="I30" i="3" s="1"/>
  <c r="H32" i="3"/>
  <c r="H7" i="5" s="1"/>
  <c r="H10" i="5" s="1"/>
  <c r="H13" i="5" s="1"/>
  <c r="H19" i="5" s="1"/>
  <c r="H21" i="5" s="1"/>
  <c r="H31" i="3"/>
  <c r="I25" i="3"/>
  <c r="I26" i="3" s="1"/>
  <c r="I22" i="3"/>
  <c r="I31" i="3" l="1"/>
  <c r="I32" i="3" s="1"/>
  <c r="I7" i="5" s="1"/>
  <c r="I10" i="5" s="1"/>
  <c r="I13" i="5" s="1"/>
  <c r="I19" i="5" s="1"/>
  <c r="I21" i="5" s="1"/>
  <c r="H7" i="4"/>
  <c r="H14" i="4" s="1"/>
  <c r="I20" i="5"/>
  <c r="J7" i="6"/>
  <c r="I18" i="4"/>
  <c r="I19" i="4" s="1"/>
  <c r="I22" i="4" s="1"/>
  <c r="J20" i="5" l="1"/>
  <c r="I7" i="4"/>
  <c r="I14" i="4" s="1"/>
  <c r="J9" i="6"/>
  <c r="J18" i="4" s="1"/>
  <c r="J19" i="4" s="1"/>
  <c r="J22" i="4" s="1"/>
  <c r="J10" i="6" l="1"/>
  <c r="J12" i="6" s="1"/>
  <c r="J28" i="3" s="1"/>
  <c r="J30" i="3" s="1"/>
  <c r="J31" i="3" l="1"/>
  <c r="J32" i="3"/>
  <c r="J7" i="5" s="1"/>
  <c r="J10" i="5" s="1"/>
  <c r="J13" i="5" s="1"/>
  <c r="J19" i="5" s="1"/>
  <c r="J21" i="5" s="1"/>
  <c r="J7" i="4" s="1"/>
  <c r="J14" i="4" s="1"/>
</calcChain>
</file>

<file path=xl/sharedStrings.xml><?xml version="1.0" encoding="utf-8"?>
<sst xmlns="http://schemas.openxmlformats.org/spreadsheetml/2006/main" count="213" uniqueCount="132">
  <si>
    <t>Project Bloom</t>
  </si>
  <si>
    <r>
      <rPr>
        <b/>
        <sz val="16"/>
        <rFont val="WenQuanYi Zen Hei"/>
        <family val="2"/>
      </rPr>
      <t>株式会社ルミエールボーテ　</t>
    </r>
    <r>
      <rPr>
        <b/>
        <sz val="16"/>
        <rFont val="Yu Gothic"/>
        <family val="3"/>
        <charset val="128"/>
      </rPr>
      <t>LBO</t>
    </r>
    <r>
      <rPr>
        <b/>
        <sz val="16"/>
        <rFont val="WenQuanYi Zen Hei"/>
        <family val="2"/>
      </rPr>
      <t>ファイナンシャルモデル</t>
    </r>
  </si>
  <si>
    <r>
      <rPr>
        <b/>
        <sz val="12"/>
        <rFont val="WenQuanYi Zen Hei"/>
        <family val="2"/>
      </rPr>
      <t>ケース：</t>
    </r>
    <r>
      <rPr>
        <b/>
        <sz val="12"/>
        <rFont val="Yu Gothic"/>
        <family val="3"/>
        <charset val="128"/>
      </rPr>
      <t>Bank Base Case</t>
    </r>
    <r>
      <rPr>
        <b/>
        <sz val="12"/>
        <rFont val="WenQuanYi Zen Hei"/>
        <family val="2"/>
      </rPr>
      <t>（ベースケース（銀行調整））</t>
    </r>
  </si>
  <si>
    <t>会社名</t>
  </si>
  <si>
    <t>株式会社ルミエールボーテ</t>
  </si>
  <si>
    <t>事業内容</t>
  </si>
  <si>
    <r>
      <rPr>
        <sz val="10"/>
        <rFont val="WenQuanYi Zen Hei"/>
        <family val="2"/>
      </rPr>
      <t>化粧品・スキンケアの企画販売（</t>
    </r>
    <r>
      <rPr>
        <sz val="10"/>
        <rFont val="Yu Gothic"/>
        <family val="3"/>
        <charset val="128"/>
      </rPr>
      <t>D2C</t>
    </r>
    <r>
      <rPr>
        <sz val="10"/>
        <rFont val="WenQuanYi Zen Hei"/>
        <family val="2"/>
      </rPr>
      <t>・卸）</t>
    </r>
  </si>
  <si>
    <r>
      <rPr>
        <b/>
        <sz val="10"/>
        <rFont val="WenQuanYi Zen Hei"/>
        <family val="2"/>
      </rPr>
      <t>借入人（</t>
    </r>
    <r>
      <rPr>
        <b/>
        <sz val="10"/>
        <rFont val="Yu Gothic"/>
        <family val="3"/>
        <charset val="128"/>
      </rPr>
      <t>SPC</t>
    </r>
    <r>
      <rPr>
        <b/>
        <sz val="10"/>
        <rFont val="WenQuanYi Zen Hei"/>
        <family val="2"/>
      </rPr>
      <t>）</t>
    </r>
  </si>
  <si>
    <t>株式会社ブルームホールディングス（本件買収のための特別目的会社）</t>
  </si>
  <si>
    <t>スポンサー</t>
  </si>
  <si>
    <t>大手町プリンシパルパートナーズ株式会社</t>
  </si>
  <si>
    <t>直近決算期</t>
  </si>
  <si>
    <r>
      <rPr>
        <sz val="10"/>
        <rFont val="Yu Gothic"/>
        <family val="3"/>
        <charset val="128"/>
      </rPr>
      <t>2026</t>
    </r>
    <r>
      <rPr>
        <sz val="10"/>
        <rFont val="WenQuanYi Zen Hei"/>
        <family val="2"/>
      </rPr>
      <t>年</t>
    </r>
    <r>
      <rPr>
        <sz val="10"/>
        <rFont val="Yu Gothic"/>
        <family val="3"/>
        <charset val="128"/>
      </rPr>
      <t>3</t>
    </r>
    <r>
      <rPr>
        <sz val="10"/>
        <rFont val="WenQuanYi Zen Hei"/>
        <family val="2"/>
      </rPr>
      <t>月期（</t>
    </r>
    <r>
      <rPr>
        <sz val="10"/>
        <rFont val="Yu Gothic"/>
        <family val="3"/>
        <charset val="128"/>
      </rPr>
      <t>2026/3</t>
    </r>
    <r>
      <rPr>
        <sz val="10"/>
        <rFont val="WenQuanYi Zen Hei"/>
        <family val="2"/>
      </rPr>
      <t>期）</t>
    </r>
  </si>
  <si>
    <t>クローズ予定日</t>
  </si>
  <si>
    <r>
      <rPr>
        <sz val="10"/>
        <rFont val="Yu Gothic"/>
        <family val="3"/>
        <charset val="128"/>
      </rPr>
      <t>2026</t>
    </r>
    <r>
      <rPr>
        <sz val="10"/>
        <rFont val="WenQuanYi Zen Hei"/>
        <family val="2"/>
      </rPr>
      <t>年</t>
    </r>
    <r>
      <rPr>
        <sz val="10"/>
        <rFont val="Yu Gothic"/>
        <family val="3"/>
        <charset val="128"/>
      </rPr>
      <t>11</t>
    </r>
    <r>
      <rPr>
        <sz val="10"/>
        <rFont val="WenQuanYi Zen Hei"/>
        <family val="2"/>
      </rPr>
      <t>月</t>
    </r>
    <r>
      <rPr>
        <sz val="10"/>
        <rFont val="Yu Gothic"/>
        <family val="3"/>
        <charset val="128"/>
      </rPr>
      <t>30</t>
    </r>
    <r>
      <rPr>
        <sz val="10"/>
        <rFont val="WenQuanYi Zen Hei"/>
        <family val="2"/>
      </rPr>
      <t>日</t>
    </r>
  </si>
  <si>
    <t>通貨・単位</t>
  </si>
  <si>
    <r>
      <rPr>
        <sz val="10"/>
        <rFont val="Yu Gothic"/>
        <family val="3"/>
        <charset val="128"/>
      </rPr>
      <t>JPY</t>
    </r>
    <r>
      <rPr>
        <sz val="10"/>
        <rFont val="WenQuanYi Zen Hei"/>
        <family val="2"/>
      </rPr>
      <t>・百万円（</t>
    </r>
    <r>
      <rPr>
        <sz val="10"/>
        <rFont val="Yu Gothic"/>
        <family val="3"/>
        <charset val="128"/>
      </rPr>
      <t>million</t>
    </r>
    <r>
      <rPr>
        <sz val="10"/>
        <rFont val="WenQuanYi Zen Hei"/>
        <family val="2"/>
      </rPr>
      <t>）</t>
    </r>
  </si>
  <si>
    <t>作成</t>
  </si>
  <si>
    <t>大手町プリンシパルパートナーズ株式会社　投資チーム</t>
  </si>
  <si>
    <t>作成日</t>
  </si>
  <si>
    <r>
      <rPr>
        <sz val="10"/>
        <rFont val="Yu Gothic"/>
        <family val="3"/>
        <charset val="128"/>
      </rPr>
      <t>2026</t>
    </r>
    <r>
      <rPr>
        <sz val="10"/>
        <rFont val="WenQuanYi Zen Hei"/>
        <family val="2"/>
      </rPr>
      <t>年</t>
    </r>
    <r>
      <rPr>
        <sz val="10"/>
        <rFont val="Yu Gothic"/>
        <family val="3"/>
        <charset val="128"/>
      </rPr>
      <t>6</t>
    </r>
    <r>
      <rPr>
        <sz val="10"/>
        <rFont val="WenQuanYi Zen Hei"/>
        <family val="2"/>
      </rPr>
      <t>月</t>
    </r>
    <r>
      <rPr>
        <sz val="10"/>
        <rFont val="Yu Gothic"/>
        <family val="3"/>
        <charset val="128"/>
      </rPr>
      <t>20</t>
    </r>
    <r>
      <rPr>
        <sz val="10"/>
        <rFont val="WenQuanYi Zen Hei"/>
        <family val="2"/>
      </rPr>
      <t>日（</t>
    </r>
    <r>
      <rPr>
        <sz val="10"/>
        <rFont val="Yu Gothic"/>
        <family val="3"/>
        <charset val="128"/>
      </rPr>
      <t>Ver. 2.3</t>
    </r>
    <r>
      <rPr>
        <sz val="10"/>
        <rFont val="WenQuanYi Zen Hei"/>
        <family val="2"/>
      </rPr>
      <t>）</t>
    </r>
  </si>
  <si>
    <t>【取扱厳重注意】</t>
  </si>
  <si>
    <t>本資料は貴行における本件検討のためにのみ作成されたものであり、作成者の事前の書面による同意なく第三者への開示・複製を禁じます。</t>
  </si>
  <si>
    <t>本資料に含まれる将来予測は多くの前提・仮定に基づくものであり、その実現性を保証するものではありません。</t>
  </si>
  <si>
    <r>
      <rPr>
        <b/>
        <sz val="14"/>
        <color rgb="FF1A4F8B"/>
        <rFont val="WenQuanYi Zen Hei"/>
        <family val="2"/>
      </rPr>
      <t>前提条件・</t>
    </r>
    <r>
      <rPr>
        <b/>
        <sz val="14"/>
        <color rgb="FF1A4F8B"/>
        <rFont val="Yu Gothic"/>
        <family val="3"/>
        <charset val="128"/>
      </rPr>
      <t>KPI</t>
    </r>
    <r>
      <rPr>
        <b/>
        <sz val="14"/>
        <color rgb="FF1A4F8B"/>
        <rFont val="WenQuanYi Zen Hei"/>
        <family val="2"/>
      </rPr>
      <t>ドライバー（</t>
    </r>
    <r>
      <rPr>
        <b/>
        <sz val="14"/>
        <color rgb="FF1A4F8B"/>
        <rFont val="Yu Gothic"/>
        <family val="3"/>
        <charset val="128"/>
      </rPr>
      <t>inp</t>
    </r>
    <r>
      <rPr>
        <b/>
        <sz val="14"/>
        <color rgb="FF1A4F8B"/>
        <rFont val="WenQuanYi Zen Hei"/>
        <family val="2"/>
      </rPr>
      <t>）</t>
    </r>
  </si>
  <si>
    <t>（単位：百万円。人数・円・％は行ラベルに明記）</t>
  </si>
  <si>
    <r>
      <rPr>
        <b/>
        <sz val="10"/>
        <rFont val="WenQuanYi Zen Hei"/>
        <family val="2"/>
      </rPr>
      <t>ケース</t>
    </r>
    <r>
      <rPr>
        <b/>
        <sz val="10"/>
        <rFont val="Yu Gothic"/>
        <family val="3"/>
        <charset val="128"/>
      </rPr>
      <t>: Bank Base Case</t>
    </r>
  </si>
  <si>
    <r>
      <rPr>
        <b/>
        <sz val="10"/>
        <rFont val="WenQuanYi Zen Hei"/>
        <family val="2"/>
      </rPr>
      <t>ストラクチャー（</t>
    </r>
    <r>
      <rPr>
        <b/>
        <sz val="10"/>
        <rFont val="Yu Gothic"/>
        <family val="3"/>
        <charset val="128"/>
      </rPr>
      <t>Sources &amp; Uses</t>
    </r>
    <r>
      <rPr>
        <b/>
        <sz val="10"/>
        <rFont val="WenQuanYi Zen Hei"/>
        <family val="2"/>
      </rPr>
      <t>・のれん）</t>
    </r>
  </si>
  <si>
    <r>
      <rPr>
        <sz val="10"/>
        <rFont val="WenQuanYi Zen Hei"/>
        <family val="2"/>
      </rPr>
      <t>エンタープライズ・バリュー（</t>
    </r>
    <r>
      <rPr>
        <sz val="10"/>
        <rFont val="Yu Gothic"/>
        <family val="3"/>
        <charset val="128"/>
      </rPr>
      <t>EV</t>
    </r>
    <r>
      <rPr>
        <sz val="10"/>
        <rFont val="WenQuanYi Zen Hei"/>
        <family val="2"/>
      </rPr>
      <t>）</t>
    </r>
  </si>
  <si>
    <r>
      <rPr>
        <sz val="10"/>
        <rFont val="Yu Gothic"/>
        <family val="3"/>
        <charset val="128"/>
      </rPr>
      <t>EV/EBITDA</t>
    </r>
    <r>
      <rPr>
        <sz val="10"/>
        <rFont val="WenQuanYi Zen Hei"/>
        <family val="2"/>
      </rPr>
      <t>倍率（</t>
    </r>
    <r>
      <rPr>
        <sz val="10"/>
        <rFont val="Yu Gothic"/>
        <family val="3"/>
        <charset val="128"/>
      </rPr>
      <t>2026/3</t>
    </r>
    <r>
      <rPr>
        <sz val="10"/>
        <rFont val="WenQuanYi Zen Hei"/>
        <family val="2"/>
      </rPr>
      <t>期実績対比）</t>
    </r>
  </si>
  <si>
    <t>株式対価（想定）</t>
  </si>
  <si>
    <r>
      <rPr>
        <sz val="10"/>
        <rFont val="WenQuanYi Zen Hei"/>
        <family val="2"/>
      </rPr>
      <t>シニアタームローン</t>
    </r>
    <r>
      <rPr>
        <sz val="10"/>
        <rFont val="Yu Gothic"/>
        <family val="3"/>
        <charset val="128"/>
      </rPr>
      <t>A</t>
    </r>
  </si>
  <si>
    <t>スポンサーエクイティ</t>
  </si>
  <si>
    <t>既存借入リファイナンス</t>
  </si>
  <si>
    <t>アドバイザリー・取引費用等</t>
  </si>
  <si>
    <t>対象会社手元現金の活用</t>
  </si>
  <si>
    <r>
      <rPr>
        <sz val="10"/>
        <rFont val="WenQuanYi Zen Hei"/>
        <family val="2"/>
      </rPr>
      <t>のれん想定額（暫定</t>
    </r>
    <r>
      <rPr>
        <sz val="10"/>
        <rFont val="Yu Gothic"/>
        <family val="3"/>
        <charset val="128"/>
      </rPr>
      <t>PPA</t>
    </r>
    <r>
      <rPr>
        <sz val="10"/>
        <rFont val="WenQuanYi Zen Hei"/>
        <family val="2"/>
      </rPr>
      <t>前）</t>
    </r>
  </si>
  <si>
    <t>ローン期間（年）</t>
  </si>
  <si>
    <r>
      <rPr>
        <sz val="10"/>
        <rFont val="WenQuanYi Zen Hei"/>
        <family val="2"/>
      </rPr>
      <t>適用金利（</t>
    </r>
    <r>
      <rPr>
        <sz val="10"/>
        <rFont val="Yu Gothic"/>
        <family val="3"/>
        <charset val="128"/>
      </rPr>
      <t>TIBOR+230bp</t>
    </r>
    <r>
      <rPr>
        <sz val="10"/>
        <rFont val="WenQuanYi Zen Hei"/>
        <family val="2"/>
      </rPr>
      <t>想定）</t>
    </r>
  </si>
  <si>
    <t>約定弁済（年・最終回残額一括）</t>
  </si>
  <si>
    <r>
      <rPr>
        <sz val="10"/>
        <rFont val="WenQuanYi Zen Hei"/>
        <family val="2"/>
      </rPr>
      <t>スポンサー提示</t>
    </r>
    <r>
      <rPr>
        <sz val="10"/>
        <rFont val="Yu Gothic"/>
        <family val="3"/>
        <charset val="128"/>
      </rPr>
      <t>EBITDA</t>
    </r>
    <r>
      <rPr>
        <sz val="10"/>
        <rFont val="WenQuanYi Zen Hei"/>
        <family val="2"/>
      </rPr>
      <t>（</t>
    </r>
    <r>
      <rPr>
        <sz val="10"/>
        <rFont val="Yu Gothic"/>
        <family val="3"/>
        <charset val="128"/>
      </rPr>
      <t>2026/3</t>
    </r>
    <r>
      <rPr>
        <sz val="10"/>
        <rFont val="WenQuanYi Zen Hei"/>
        <family val="2"/>
      </rPr>
      <t>期実績・速報）</t>
    </r>
  </si>
  <si>
    <r>
      <rPr>
        <sz val="10"/>
        <color rgb="FF0000C0"/>
        <rFont val="Yu Gothic"/>
        <family val="3"/>
        <charset val="128"/>
      </rPr>
      <t>2026</t>
    </r>
    <r>
      <rPr>
        <sz val="10"/>
        <color rgb="FF0000C0"/>
        <rFont val="WenQuanYi Zen Hei"/>
        <family val="2"/>
      </rPr>
      <t>年</t>
    </r>
    <r>
      <rPr>
        <sz val="10"/>
        <color rgb="FF0000C0"/>
        <rFont val="Yu Gothic"/>
        <family val="3"/>
        <charset val="128"/>
      </rPr>
      <t>11</t>
    </r>
    <r>
      <rPr>
        <sz val="10"/>
        <color rgb="FF0000C0"/>
        <rFont val="WenQuanYi Zen Hei"/>
        <family val="2"/>
      </rPr>
      <t>月</t>
    </r>
    <r>
      <rPr>
        <sz val="10"/>
        <color rgb="FF0000C0"/>
        <rFont val="Yu Gothic"/>
        <family val="3"/>
        <charset val="128"/>
      </rPr>
      <t>30</t>
    </r>
    <r>
      <rPr>
        <sz val="10"/>
        <color rgb="FF0000C0"/>
        <rFont val="WenQuanYi Zen Hei"/>
        <family val="2"/>
      </rPr>
      <t>日</t>
    </r>
  </si>
  <si>
    <r>
      <rPr>
        <sz val="10"/>
        <rFont val="WenQuanYi Zen Hei"/>
        <family val="2"/>
      </rPr>
      <t>借入人（</t>
    </r>
    <r>
      <rPr>
        <sz val="10"/>
        <rFont val="Yu Gothic"/>
        <family val="3"/>
        <charset val="128"/>
      </rPr>
      <t>SPC</t>
    </r>
    <r>
      <rPr>
        <sz val="10"/>
        <rFont val="WenQuanYi Zen Hei"/>
        <family val="2"/>
      </rPr>
      <t>）</t>
    </r>
  </si>
  <si>
    <t>株式会社ブルームホールディングス</t>
  </si>
  <si>
    <r>
      <rPr>
        <sz val="9"/>
        <color rgb="FF737781"/>
        <rFont val="WenQuanYi Zen Hei"/>
        <family val="2"/>
      </rPr>
      <t xml:space="preserve">※ のれん想定額 </t>
    </r>
    <r>
      <rPr>
        <sz val="9"/>
        <color rgb="FF737781"/>
        <rFont val="Yu Gothic"/>
        <family val="3"/>
        <charset val="128"/>
      </rPr>
      <t xml:space="preserve">= </t>
    </r>
    <r>
      <rPr>
        <sz val="9"/>
        <color rgb="FF737781"/>
        <rFont val="WenQuanYi Zen Hei"/>
        <family val="2"/>
      </rPr>
      <t>株式対価</t>
    </r>
    <r>
      <rPr>
        <sz val="9"/>
        <color rgb="FF737781"/>
        <rFont val="Yu Gothic"/>
        <family val="3"/>
        <charset val="128"/>
      </rPr>
      <t xml:space="preserve">9,220 − </t>
    </r>
    <r>
      <rPr>
        <sz val="9"/>
        <color rgb="FF737781"/>
        <rFont val="WenQuanYi Zen Hei"/>
        <family val="2"/>
      </rPr>
      <t>時価純資産</t>
    </r>
    <r>
      <rPr>
        <sz val="9"/>
        <color rgb="FF737781"/>
        <rFont val="Yu Gothic"/>
        <family val="3"/>
        <charset val="128"/>
      </rPr>
      <t xml:space="preserve">2,655 − </t>
    </r>
    <r>
      <rPr>
        <sz val="9"/>
        <color rgb="FF737781"/>
        <rFont val="WenQuanYi Zen Hei"/>
        <family val="2"/>
      </rPr>
      <t>識別無形資産</t>
    </r>
    <r>
      <rPr>
        <sz val="9"/>
        <color rgb="FF737781"/>
        <rFont val="Yu Gothic"/>
        <family val="3"/>
        <charset val="128"/>
      </rPr>
      <t>465</t>
    </r>
    <r>
      <rPr>
        <sz val="9"/>
        <color rgb="FF737781"/>
        <rFont val="WenQuanYi Zen Hei"/>
        <family val="2"/>
      </rPr>
      <t>（暫定</t>
    </r>
    <r>
      <rPr>
        <sz val="9"/>
        <color rgb="FF737781"/>
        <rFont val="Yu Gothic"/>
        <family val="3"/>
        <charset val="128"/>
      </rPr>
      <t>PPA</t>
    </r>
    <r>
      <rPr>
        <sz val="9"/>
        <color rgb="FF737781"/>
        <rFont val="WenQuanYi Zen Hei"/>
        <family val="2"/>
      </rPr>
      <t>前・財務</t>
    </r>
    <r>
      <rPr>
        <sz val="9"/>
        <color rgb="FF737781"/>
        <rFont val="Yu Gothic"/>
        <family val="3"/>
        <charset val="128"/>
      </rPr>
      <t>DD</t>
    </r>
    <r>
      <rPr>
        <sz val="9"/>
        <color rgb="FF737781"/>
        <rFont val="WenQuanYi Zen Hei"/>
        <family val="2"/>
      </rPr>
      <t>の時価純資産評価に基づく）</t>
    </r>
  </si>
  <si>
    <r>
      <rPr>
        <b/>
        <sz val="10"/>
        <rFont val="Yu Gothic"/>
        <family val="3"/>
        <charset val="128"/>
      </rPr>
      <t>KPI</t>
    </r>
    <r>
      <rPr>
        <b/>
        <sz val="10"/>
        <rFont val="WenQuanYi Zen Hei"/>
        <family val="2"/>
      </rPr>
      <t>ドライバー（</t>
    </r>
    <r>
      <rPr>
        <b/>
        <sz val="10"/>
        <rFont val="Yu Gothic"/>
        <family val="3"/>
        <charset val="128"/>
      </rPr>
      <t>Operating Assumptions</t>
    </r>
    <r>
      <rPr>
        <b/>
        <sz val="10"/>
        <rFont val="WenQuanYi Zen Hei"/>
        <family val="2"/>
      </rPr>
      <t>）</t>
    </r>
  </si>
  <si>
    <r>
      <rPr>
        <b/>
        <sz val="10"/>
        <rFont val="Yu Gothic"/>
        <family val="3"/>
        <charset val="128"/>
      </rPr>
      <t>2024/3</t>
    </r>
    <r>
      <rPr>
        <b/>
        <sz val="10"/>
        <rFont val="WenQuanYi Zen Hei"/>
        <family val="2"/>
      </rPr>
      <t>期</t>
    </r>
  </si>
  <si>
    <r>
      <rPr>
        <b/>
        <sz val="10"/>
        <rFont val="Yu Gothic"/>
        <family val="3"/>
        <charset val="128"/>
      </rPr>
      <t>2025/3</t>
    </r>
    <r>
      <rPr>
        <b/>
        <sz val="10"/>
        <rFont val="WenQuanYi Zen Hei"/>
        <family val="2"/>
      </rPr>
      <t>期</t>
    </r>
  </si>
  <si>
    <r>
      <rPr>
        <b/>
        <sz val="10"/>
        <rFont val="Yu Gothic"/>
        <family val="3"/>
        <charset val="128"/>
      </rPr>
      <t>2026/3</t>
    </r>
    <r>
      <rPr>
        <b/>
        <sz val="10"/>
        <rFont val="WenQuanYi Zen Hei"/>
        <family val="2"/>
      </rPr>
      <t>期</t>
    </r>
  </si>
  <si>
    <r>
      <rPr>
        <b/>
        <sz val="10"/>
        <rFont val="Yu Gothic"/>
        <family val="3"/>
        <charset val="128"/>
      </rPr>
      <t>2027/3</t>
    </r>
    <r>
      <rPr>
        <b/>
        <sz val="10"/>
        <rFont val="WenQuanYi Zen Hei"/>
        <family val="2"/>
      </rPr>
      <t>期</t>
    </r>
  </si>
  <si>
    <r>
      <rPr>
        <b/>
        <sz val="10"/>
        <rFont val="Yu Gothic"/>
        <family val="3"/>
        <charset val="128"/>
      </rPr>
      <t>2028/3</t>
    </r>
    <r>
      <rPr>
        <b/>
        <sz val="10"/>
        <rFont val="WenQuanYi Zen Hei"/>
        <family val="2"/>
      </rPr>
      <t>期</t>
    </r>
  </si>
  <si>
    <r>
      <rPr>
        <b/>
        <sz val="10"/>
        <rFont val="Yu Gothic"/>
        <family val="3"/>
        <charset val="128"/>
      </rPr>
      <t>2029/3</t>
    </r>
    <r>
      <rPr>
        <b/>
        <sz val="10"/>
        <rFont val="WenQuanYi Zen Hei"/>
        <family val="2"/>
      </rPr>
      <t>期</t>
    </r>
  </si>
  <si>
    <r>
      <rPr>
        <b/>
        <sz val="10"/>
        <rFont val="Yu Gothic"/>
        <family val="3"/>
        <charset val="128"/>
      </rPr>
      <t>2030/3</t>
    </r>
    <r>
      <rPr>
        <b/>
        <sz val="10"/>
        <rFont val="WenQuanYi Zen Hei"/>
        <family val="2"/>
      </rPr>
      <t>期</t>
    </r>
  </si>
  <si>
    <r>
      <rPr>
        <b/>
        <sz val="10"/>
        <rFont val="Yu Gothic"/>
        <family val="3"/>
        <charset val="128"/>
      </rPr>
      <t>2031/3</t>
    </r>
    <r>
      <rPr>
        <b/>
        <sz val="10"/>
        <rFont val="WenQuanYi Zen Hei"/>
        <family val="2"/>
      </rPr>
      <t>期</t>
    </r>
  </si>
  <si>
    <r>
      <rPr>
        <sz val="9"/>
        <color rgb="FF737781"/>
        <rFont val="Yu Gothic"/>
        <family val="3"/>
        <charset val="128"/>
      </rPr>
      <t>A</t>
    </r>
    <r>
      <rPr>
        <sz val="9"/>
        <color rgb="FF737781"/>
        <rFont val="WenQuanYi Zen Hei"/>
        <family val="2"/>
      </rPr>
      <t>（実績）</t>
    </r>
  </si>
  <si>
    <r>
      <rPr>
        <sz val="9"/>
        <color rgb="FF737781"/>
        <rFont val="Yu Gothic"/>
        <family val="3"/>
        <charset val="128"/>
      </rPr>
      <t>P</t>
    </r>
    <r>
      <rPr>
        <sz val="9"/>
        <color rgb="FF737781"/>
        <rFont val="WenQuanYi Zen Hei"/>
        <family val="2"/>
      </rPr>
      <t>（計画）</t>
    </r>
  </si>
  <si>
    <t>アクティブ会員数（人）</t>
  </si>
  <si>
    <t>リピート率（既存会員残存率）</t>
  </si>
  <si>
    <t>新規獲得会員数（人）</t>
  </si>
  <si>
    <t>年間平均購入回数（回）</t>
  </si>
  <si>
    <r>
      <rPr>
        <sz val="10"/>
        <rFont val="WenQuanYi Zen Hei"/>
        <family val="2"/>
      </rPr>
      <t>平均注文単価（</t>
    </r>
    <r>
      <rPr>
        <sz val="10"/>
        <rFont val="Yu Gothic"/>
        <family val="3"/>
        <charset val="128"/>
      </rPr>
      <t>AOV</t>
    </r>
    <r>
      <rPr>
        <sz val="10"/>
        <rFont val="WenQuanYi Zen Hei"/>
        <family val="2"/>
      </rPr>
      <t>・円）</t>
    </r>
  </si>
  <si>
    <t>卸取扱店舗数（店）</t>
  </si>
  <si>
    <t>店舗あたり年間出荷額（千円）</t>
  </si>
  <si>
    <t>売上原価率（対売上）</t>
  </si>
  <si>
    <t>広告宣伝費率（対売上）</t>
  </si>
  <si>
    <t>物流費率（対売上）</t>
  </si>
  <si>
    <t>設備投資（年間）</t>
  </si>
  <si>
    <r>
      <rPr>
        <sz val="9"/>
        <color rgb="FF737781"/>
        <rFont val="WenQuanYi Zen Hei"/>
        <family val="2"/>
      </rPr>
      <t>※ アクティブ会員数（計画年）</t>
    </r>
    <r>
      <rPr>
        <sz val="9"/>
        <color rgb="FF737781"/>
        <rFont val="Yu Gothic"/>
        <family val="3"/>
        <charset val="128"/>
      </rPr>
      <t xml:space="preserve">= </t>
    </r>
    <r>
      <rPr>
        <sz val="9"/>
        <color rgb="FF737781"/>
        <rFont val="WenQuanYi Zen Hei"/>
        <family val="2"/>
      </rPr>
      <t xml:space="preserve">前期会員数 </t>
    </r>
    <r>
      <rPr>
        <sz val="9"/>
        <color rgb="FF737781"/>
        <rFont val="Yu Gothic"/>
        <family val="3"/>
        <charset val="128"/>
      </rPr>
      <t xml:space="preserve">× </t>
    </r>
    <r>
      <rPr>
        <sz val="9"/>
        <color rgb="FF737781"/>
        <rFont val="WenQuanYi Zen Hei"/>
        <family val="2"/>
      </rPr>
      <t>リピート率 ＋ 新規獲得会員数</t>
    </r>
  </si>
  <si>
    <r>
      <rPr>
        <b/>
        <sz val="14"/>
        <color rgb="FF1A4F8B"/>
        <rFont val="WenQuanYi Zen Hei"/>
        <family val="2"/>
      </rPr>
      <t>損益計算書（</t>
    </r>
    <r>
      <rPr>
        <b/>
        <sz val="14"/>
        <color rgb="FF1A4F8B"/>
        <rFont val="Yu Gothic"/>
        <family val="3"/>
        <charset val="128"/>
      </rPr>
      <t>Projected P&amp;L</t>
    </r>
    <r>
      <rPr>
        <b/>
        <sz val="14"/>
        <color rgb="FF1A4F8B"/>
        <rFont val="WenQuanYi Zen Hei"/>
        <family val="2"/>
      </rPr>
      <t>）</t>
    </r>
  </si>
  <si>
    <t>（単位：百万円）</t>
  </si>
  <si>
    <r>
      <rPr>
        <sz val="10"/>
        <rFont val="Yu Gothic"/>
        <family val="3"/>
        <charset val="128"/>
      </rPr>
      <t>EC</t>
    </r>
    <r>
      <rPr>
        <sz val="10"/>
        <rFont val="WenQuanYi Zen Hei"/>
        <family val="2"/>
      </rPr>
      <t>売上（自社</t>
    </r>
    <r>
      <rPr>
        <sz val="10"/>
        <rFont val="Yu Gothic"/>
        <family val="3"/>
        <charset val="128"/>
      </rPr>
      <t>EC</t>
    </r>
    <r>
      <rPr>
        <sz val="10"/>
        <rFont val="WenQuanYi Zen Hei"/>
        <family val="2"/>
      </rPr>
      <t>・モール計）</t>
    </r>
  </si>
  <si>
    <t>卸売上（ドラッグストア・バラエティ）</t>
  </si>
  <si>
    <t>その他売上（百貨店・海外）</t>
  </si>
  <si>
    <t>売上収益 合計</t>
  </si>
  <si>
    <r>
      <rPr>
        <sz val="10"/>
        <rFont val="WenQuanYi Zen Hei"/>
        <family val="2"/>
      </rPr>
      <t>売上原価（</t>
    </r>
    <r>
      <rPr>
        <sz val="10"/>
        <rFont val="Yu Gothic"/>
        <family val="3"/>
        <charset val="128"/>
      </rPr>
      <t>OEM</t>
    </r>
    <r>
      <rPr>
        <sz val="10"/>
        <rFont val="WenQuanYi Zen Hei"/>
        <family val="2"/>
      </rPr>
      <t>仕入・資材）</t>
    </r>
  </si>
  <si>
    <t>売上総利益</t>
  </si>
  <si>
    <t>売上総利益率</t>
  </si>
  <si>
    <t>広告宣伝費</t>
  </si>
  <si>
    <t>物流費（配送・倉庫）</t>
  </si>
  <si>
    <t>人件費</t>
  </si>
  <si>
    <t>その他販管費</t>
  </si>
  <si>
    <t>販売費及び一般管理費 合計</t>
  </si>
  <si>
    <r>
      <rPr>
        <b/>
        <sz val="10"/>
        <rFont val="WenQuanYi Zen Hei"/>
        <family val="2"/>
      </rPr>
      <t>営業利益（</t>
    </r>
    <r>
      <rPr>
        <b/>
        <sz val="10"/>
        <rFont val="Yu Gothic"/>
        <family val="3"/>
        <charset val="128"/>
      </rPr>
      <t>EBIT</t>
    </r>
    <r>
      <rPr>
        <b/>
        <sz val="10"/>
        <rFont val="WenQuanYi Zen Hei"/>
        <family val="2"/>
      </rPr>
      <t>）</t>
    </r>
  </si>
  <si>
    <t>営業利益率</t>
  </si>
  <si>
    <t>減価償却費及び償却費</t>
  </si>
  <si>
    <t>EBITDA</t>
  </si>
  <si>
    <r>
      <rPr>
        <sz val="10"/>
        <rFont val="Yu Gothic"/>
        <family val="3"/>
        <charset val="128"/>
      </rPr>
      <t>EBITDA</t>
    </r>
    <r>
      <rPr>
        <sz val="10"/>
        <rFont val="WenQuanYi Zen Hei"/>
        <family val="2"/>
      </rPr>
      <t>マージン</t>
    </r>
  </si>
  <si>
    <t>支払利息</t>
  </si>
  <si>
    <t>営業外損益（純額）</t>
  </si>
  <si>
    <t>経常利益</t>
  </si>
  <si>
    <r>
      <rPr>
        <sz val="10"/>
        <rFont val="WenQuanYi Zen Hei"/>
        <family val="2"/>
      </rPr>
      <t>法人税等（実効税率</t>
    </r>
    <r>
      <rPr>
        <sz val="10"/>
        <rFont val="Yu Gothic"/>
        <family val="3"/>
        <charset val="128"/>
      </rPr>
      <t>30.5%</t>
    </r>
    <r>
      <rPr>
        <sz val="10"/>
        <rFont val="WenQuanYi Zen Hei"/>
        <family val="2"/>
      </rPr>
      <t>）</t>
    </r>
  </si>
  <si>
    <t>当期純利益</t>
  </si>
  <si>
    <r>
      <rPr>
        <b/>
        <sz val="14"/>
        <color rgb="FF1A4F8B"/>
        <rFont val="WenQuanYi Zen Hei"/>
        <family val="2"/>
      </rPr>
      <t>貸借対照表（</t>
    </r>
    <r>
      <rPr>
        <b/>
        <sz val="14"/>
        <color rgb="FF1A4F8B"/>
        <rFont val="Yu Gothic"/>
        <family val="3"/>
        <charset val="128"/>
      </rPr>
      <t>Projected B/S</t>
    </r>
    <r>
      <rPr>
        <b/>
        <sz val="14"/>
        <color rgb="FF1A4F8B"/>
        <rFont val="WenQuanYi Zen Hei"/>
        <family val="2"/>
      </rPr>
      <t>）</t>
    </r>
  </si>
  <si>
    <t>現金及び現金同等物</t>
  </si>
  <si>
    <t>営業債権（売掛金）</t>
  </si>
  <si>
    <t>棚卸資産</t>
  </si>
  <si>
    <t>その他流動資産</t>
  </si>
  <si>
    <t>有形固定資産</t>
  </si>
  <si>
    <t>のれん</t>
  </si>
  <si>
    <t>無形固定資産・その他</t>
  </si>
  <si>
    <t>資産合計</t>
  </si>
  <si>
    <t>営業債務（買掛金・未払費用）</t>
  </si>
  <si>
    <t>その他負債</t>
  </si>
  <si>
    <t>有利子負債</t>
  </si>
  <si>
    <t>負債合計</t>
  </si>
  <si>
    <t>純資産</t>
  </si>
  <si>
    <t>負債純資産合計</t>
  </si>
  <si>
    <r>
      <rPr>
        <sz val="9"/>
        <color rgb="FF737781"/>
        <rFont val="Yu Gothic"/>
        <family val="3"/>
        <charset val="128"/>
      </rPr>
      <t>※ 2027/3</t>
    </r>
    <r>
      <rPr>
        <sz val="9"/>
        <color rgb="FF737781"/>
        <rFont val="WenQuanYi Zen Hei"/>
        <family val="2"/>
      </rPr>
      <t>期以降は買収後連結（のれん計上・買収時調整を純資産に含む）。のれんは暫定</t>
    </r>
    <r>
      <rPr>
        <sz val="9"/>
        <color rgb="FF737781"/>
        <rFont val="Yu Gothic"/>
        <family val="3"/>
        <charset val="128"/>
      </rPr>
      <t>PPA</t>
    </r>
    <r>
      <rPr>
        <sz val="9"/>
        <color rgb="FF737781"/>
        <rFont val="WenQuanYi Zen Hei"/>
        <family val="2"/>
      </rPr>
      <t>前の想定額（</t>
    </r>
    <r>
      <rPr>
        <sz val="9"/>
        <color rgb="FF737781"/>
        <rFont val="Yu Gothic"/>
        <family val="3"/>
        <charset val="128"/>
      </rPr>
      <t>inp</t>
    </r>
    <r>
      <rPr>
        <sz val="9"/>
        <color rgb="FF737781"/>
        <rFont val="WenQuanYi Zen Hei"/>
        <family val="2"/>
      </rPr>
      <t>参照）。</t>
    </r>
  </si>
  <si>
    <r>
      <rPr>
        <b/>
        <sz val="14"/>
        <color rgb="FF1A4F8B"/>
        <rFont val="WenQuanYi Zen Hei"/>
        <family val="2"/>
      </rPr>
      <t>キャッシュフロー計算書（</t>
    </r>
    <r>
      <rPr>
        <b/>
        <sz val="14"/>
        <color rgb="FF1A4F8B"/>
        <rFont val="Yu Gothic"/>
        <family val="3"/>
        <charset val="128"/>
      </rPr>
      <t>Projected C/F</t>
    </r>
    <r>
      <rPr>
        <b/>
        <sz val="14"/>
        <color rgb="FF1A4F8B"/>
        <rFont val="WenQuanYi Zen Hei"/>
        <family val="2"/>
      </rPr>
      <t>）</t>
    </r>
  </si>
  <si>
    <t>税引後当期純利益</t>
  </si>
  <si>
    <t>運転資本増減・その他（△増加）</t>
  </si>
  <si>
    <t>営業キャッシュフロー</t>
  </si>
  <si>
    <r>
      <rPr>
        <sz val="10"/>
        <rFont val="WenQuanYi Zen Hei"/>
        <family val="2"/>
      </rPr>
      <t>設備投資等（投資</t>
    </r>
    <r>
      <rPr>
        <sz val="10"/>
        <rFont val="Yu Gothic"/>
        <family val="3"/>
        <charset val="128"/>
      </rPr>
      <t>CF</t>
    </r>
    <r>
      <rPr>
        <sz val="10"/>
        <rFont val="WenQuanYi Zen Hei"/>
        <family val="2"/>
      </rPr>
      <t>）</t>
    </r>
  </si>
  <si>
    <r>
      <rPr>
        <sz val="10"/>
        <rFont val="WenQuanYi Zen Hei"/>
        <family val="2"/>
      </rPr>
      <t>フリー・キャッシュフロー（</t>
    </r>
    <r>
      <rPr>
        <sz val="10"/>
        <rFont val="Yu Gothic"/>
        <family val="3"/>
        <charset val="128"/>
      </rPr>
      <t>FCF</t>
    </r>
    <r>
      <rPr>
        <sz val="10"/>
        <rFont val="WenQuanYi Zen Hei"/>
        <family val="2"/>
      </rPr>
      <t>）</t>
    </r>
  </si>
  <si>
    <t>借入金返済</t>
  </si>
  <si>
    <t>配当・その他財務</t>
  </si>
  <si>
    <t>財務キャッシュフロー</t>
  </si>
  <si>
    <t>現金増減</t>
  </si>
  <si>
    <t>期首現金</t>
  </si>
  <si>
    <t>期末現金</t>
  </si>
  <si>
    <r>
      <rPr>
        <sz val="9"/>
        <color rgb="FF737781"/>
        <rFont val="Yu Gothic"/>
        <family val="3"/>
        <charset val="128"/>
      </rPr>
      <t>※ 2027/3</t>
    </r>
    <r>
      <rPr>
        <sz val="9"/>
        <color rgb="FF737781"/>
        <rFont val="WenQuanYi Zen Hei"/>
        <family val="2"/>
      </rPr>
      <t>期期首現金は買収時調整後（手元現金</t>
    </r>
    <r>
      <rPr>
        <sz val="9"/>
        <color rgb="FF737781"/>
        <rFont val="Yu Gothic"/>
        <family val="3"/>
        <charset val="128"/>
      </rPr>
      <t>380</t>
    </r>
    <r>
      <rPr>
        <sz val="9"/>
        <color rgb="FF737781"/>
        <rFont val="WenQuanYi Zen Hei"/>
        <family val="2"/>
      </rPr>
      <t>百万円を買収資金に充当後の</t>
    </r>
    <r>
      <rPr>
        <sz val="9"/>
        <color rgb="FF737781"/>
        <rFont val="Yu Gothic"/>
        <family val="3"/>
        <charset val="128"/>
      </rPr>
      <t>240</t>
    </r>
    <r>
      <rPr>
        <sz val="9"/>
        <color rgb="FF737781"/>
        <rFont val="WenQuanYi Zen Hei"/>
        <family val="2"/>
      </rPr>
      <t>百万円）。</t>
    </r>
  </si>
  <si>
    <r>
      <rPr>
        <b/>
        <sz val="14"/>
        <color rgb="FF1A4F8B"/>
        <rFont val="WenQuanYi Zen Hei"/>
        <family val="2"/>
      </rPr>
      <t>デットスケジュール（シニアタームローン</t>
    </r>
    <r>
      <rPr>
        <b/>
        <sz val="14"/>
        <color rgb="FF1A4F8B"/>
        <rFont val="Yu Gothic"/>
        <family val="3"/>
        <charset val="128"/>
      </rPr>
      <t>A</t>
    </r>
    <r>
      <rPr>
        <b/>
        <sz val="14"/>
        <color rgb="FF1A4F8B"/>
        <rFont val="WenQuanYi Zen Hei"/>
        <family val="2"/>
      </rPr>
      <t>）</t>
    </r>
  </si>
  <si>
    <t>期初残高</t>
  </si>
  <si>
    <t>約定弁済</t>
  </si>
  <si>
    <t>期末残高</t>
  </si>
  <si>
    <t>平均残高</t>
  </si>
  <si>
    <r>
      <rPr>
        <sz val="9"/>
        <color rgb="FF737781"/>
        <rFont val="WenQuanYi Zen Hei"/>
        <family val="2"/>
      </rPr>
      <t>※ 約定弁済は年</t>
    </r>
    <r>
      <rPr>
        <sz val="9"/>
        <color rgb="FF737781"/>
        <rFont val="Yu Gothic"/>
        <family val="3"/>
        <charset val="128"/>
      </rPr>
      <t>480</t>
    </r>
    <r>
      <rPr>
        <sz val="9"/>
        <color rgb="FF737781"/>
        <rFont val="WenQuanYi Zen Hei"/>
        <family val="2"/>
      </rPr>
      <t>百万円、最終回（</t>
    </r>
    <r>
      <rPr>
        <sz val="9"/>
        <color rgb="FF737781"/>
        <rFont val="Yu Gothic"/>
        <family val="3"/>
        <charset val="128"/>
      </rPr>
      <t>FY34</t>
    </r>
    <r>
      <rPr>
        <sz val="9"/>
        <color rgb="FF737781"/>
        <rFont val="WenQuanYi Zen Hei"/>
        <family val="2"/>
      </rPr>
      <t>）残額一括。実績年欄は対象外（既存借入は</t>
    </r>
    <r>
      <rPr>
        <sz val="9"/>
        <color rgb="FF737781"/>
        <rFont val="Yu Gothic"/>
        <family val="3"/>
        <charset val="128"/>
      </rPr>
      <t>BS</t>
    </r>
    <r>
      <rPr>
        <sz val="9"/>
        <color rgb="FF737781"/>
        <rFont val="WenQuanYi Zen Hei"/>
        <family val="2"/>
      </rPr>
      <t>参照）。</t>
    </r>
  </si>
  <si>
    <t>（作業メモ・成果物ではありません）</t>
  </si>
  <si>
    <r>
      <rPr>
        <sz val="10"/>
        <rFont val="Yu Gothic"/>
        <family val="3"/>
        <charset val="128"/>
      </rPr>
      <t xml:space="preserve">6/18 </t>
    </r>
    <r>
      <rPr>
        <sz val="10"/>
        <rFont val="WenQuanYi Zen Hei"/>
        <family val="2"/>
      </rPr>
      <t>銀行提出用に単位を百万円へ統一（旧版は千円）</t>
    </r>
  </si>
  <si>
    <r>
      <rPr>
        <sz val="10"/>
        <rFont val="Yu Gothic"/>
        <family val="3"/>
        <charset val="128"/>
      </rPr>
      <t>TODO: PPA</t>
    </r>
    <r>
      <rPr>
        <sz val="10"/>
        <rFont val="WenQuanYi Zen Hei"/>
        <family val="2"/>
      </rPr>
      <t xml:space="preserve">確定後にのれん・無形の内訳を更新（暫定 </t>
    </r>
    <r>
      <rPr>
        <sz val="10"/>
        <rFont val="Yu Gothic"/>
        <family val="3"/>
        <charset val="128"/>
      </rPr>
      <t>6,100 / 465</t>
    </r>
    <r>
      <rPr>
        <sz val="10"/>
        <rFont val="WenQuanYi Zen Hei"/>
        <family val="2"/>
      </rPr>
      <t>）</t>
    </r>
  </si>
  <si>
    <r>
      <rPr>
        <sz val="10"/>
        <rFont val="WenQuanYi Zen Hei"/>
        <family val="2"/>
      </rPr>
      <t>リピート率の定義＝当期購入会員のうち前期も購入した会員の比率（</t>
    </r>
    <r>
      <rPr>
        <sz val="10"/>
        <rFont val="Yu Gothic"/>
        <family val="3"/>
        <charset val="128"/>
      </rPr>
      <t>CRM</t>
    </r>
    <r>
      <rPr>
        <sz val="10"/>
        <rFont val="WenQuanYi Zen Hei"/>
        <family val="2"/>
      </rPr>
      <t>抽出）</t>
    </r>
  </si>
  <si>
    <t>卸の店販は帳合経由の出荷ベース。返品控除後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</si>
</sst>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x"/>
    <numFmt numFmtId="177" formatCode="0.0%"/>
  </numFmts>
  <fonts count="17">
    <font>
      <sz val="11"/>
      <color theme="1"/>
      <name val="Calibri"/>
      <family val="2"/>
      <charset val="1"/>
    </font>
    <font>
      <b/>
      <sz val="24"/>
      <color rgb="FF1A4F8B"/>
      <name val="Yu Gothic"/>
      <family val="3"/>
      <charset val="128"/>
    </font>
    <font>
      <b/>
      <sz val="16"/>
      <name val="WenQuanYi Zen Hei"/>
      <family val="2"/>
    </font>
    <font>
      <b/>
      <sz val="16"/>
      <name val="Yu Gothic"/>
      <family val="3"/>
      <charset val="128"/>
    </font>
    <font>
      <b/>
      <sz val="12"/>
      <name val="WenQuanYi Zen Hei"/>
      <family val="2"/>
    </font>
    <font>
      <b/>
      <sz val="12"/>
      <name val="Yu Gothic"/>
      <family val="3"/>
      <charset val="128"/>
    </font>
    <font>
      <b/>
      <sz val="10"/>
      <name val="WenQuanYi Zen Hei"/>
      <family val="2"/>
    </font>
    <font>
      <sz val="10"/>
      <name val="WenQuanYi Zen Hei"/>
      <family val="2"/>
    </font>
    <font>
      <sz val="10"/>
      <name val="Yu Gothic"/>
      <family val="3"/>
      <charset val="128"/>
    </font>
    <font>
      <b/>
      <sz val="10"/>
      <name val="Yu Gothic"/>
      <family val="3"/>
      <charset val="128"/>
    </font>
    <font>
      <sz val="9"/>
      <color rgb="FF737781"/>
      <name val="WenQuanYi Zen Hei"/>
      <family val="2"/>
    </font>
    <font>
      <b/>
      <sz val="14"/>
      <color rgb="FF1A4F8B"/>
      <name val="WenQuanYi Zen Hei"/>
      <family val="2"/>
    </font>
    <font>
      <b/>
      <sz val="14"/>
      <color rgb="FF1A4F8B"/>
      <name val="Yu Gothic"/>
      <family val="3"/>
      <charset val="128"/>
    </font>
    <font>
      <sz val="9"/>
      <color rgb="FF737781"/>
      <name val="Yu Gothic"/>
      <family val="3"/>
      <charset val="128"/>
    </font>
    <font>
      <sz val="10"/>
      <color rgb="FF0000C0"/>
      <name val="Yu Gothic"/>
      <family val="3"/>
      <charset val="128"/>
    </font>
    <font>
      <sz val="10"/>
      <color rgb="FF0000C0"/>
      <name val="WenQuanYi Zen Hei"/>
      <family val="2"/>
    </font>
    <font>
      <sz val="6"/>
      <name val="851MkPOP"/>
      <family val="3"/>
      <charset val="128"/>
    </font>
  </fonts>
  <fills count="4">
    <fill>
      <patternFill patternType="none"/>
    </fill>
    <fill>
      <patternFill patternType="gray125"/>
    </fill>
    <fill>
      <patternFill patternType="solid">
        <fgColor rgb="FFEDEDF3"/>
        <bgColor rgb="FFF5F5F5"/>
      </patternFill>
    </fill>
    <fill>
      <patternFill patternType="solid">
        <fgColor rgb="FFF5F5F5"/>
        <bgColor rgb="FFEDEDF3"/>
      </patternFill>
    </fill>
  </fills>
  <borders count="1">
    <border>
      <left/>
      <right/>
      <top/>
      <bottom/>
      <diagonal/>
    </border>
  </borders>
  <cellStyleXfs count="1">
    <xf numFmtId="0" fontId="0" fillId="0" borderId="0"/>
  </cellStyleXfs>
  <cellXfs count="30">
    <xf numFmtId="0" fontId="0" fillId="0" borderId="0" xfId="0"/>
    <xf numFmtId="0" fontId="1" fillId="0" borderId="0" xfId="0" applyFont="1"/>
    <xf numFmtId="0" fontId="2" fillId="0" borderId="0" xfId="0" applyFont="1"/>
    <xf numFmtId="0" fontId="4" fillId="0" borderId="0" xfId="0" applyFont="1"/>
    <xf numFmtId="0" fontId="6" fillId="0" borderId="0" xfId="0" applyFont="1"/>
    <xf numFmtId="0" fontId="7" fillId="0" borderId="0" xfId="0" applyFont="1"/>
    <xf numFmtId="0" fontId="8" fillId="0" borderId="0" xfId="0" applyFont="1"/>
    <xf numFmtId="0" fontId="10" fillId="0" borderId="0" xfId="0" applyFont="1"/>
    <xf numFmtId="0" fontId="11" fillId="0" borderId="0" xfId="0" applyFont="1"/>
    <xf numFmtId="0" fontId="9" fillId="0" borderId="0" xfId="0" applyFont="1" applyAlignment="1">
      <alignment horizontal="center"/>
    </xf>
    <xf numFmtId="0" fontId="13" fillId="0" borderId="0" xfId="0" applyFont="1" applyAlignment="1">
      <alignment horizontal="center"/>
    </xf>
    <xf numFmtId="3" fontId="14" fillId="0" borderId="0" xfId="0" applyNumberFormat="1" applyFont="1"/>
    <xf numFmtId="176" fontId="14" fillId="0" borderId="0" xfId="0" applyNumberFormat="1" applyFont="1"/>
    <xf numFmtId="1" fontId="14" fillId="0" borderId="0" xfId="0" applyNumberFormat="1" applyFont="1"/>
    <xf numFmtId="177" fontId="14" fillId="0" borderId="0" xfId="0" applyNumberFormat="1" applyFont="1"/>
    <xf numFmtId="0" fontId="14" fillId="0" borderId="0" xfId="0" applyFont="1"/>
    <xf numFmtId="0" fontId="15" fillId="0" borderId="0" xfId="0" applyFont="1"/>
    <xf numFmtId="0" fontId="9" fillId="0" borderId="0" xfId="0" applyFont="1"/>
    <xf numFmtId="0" fontId="9" fillId="2" borderId="0" xfId="0" applyFont="1" applyFill="1" applyAlignment="1">
      <alignment horizontal="center"/>
    </xf>
    <xf numFmtId="3" fontId="14" fillId="3" borderId="0" xfId="0" applyNumberFormat="1" applyFont="1" applyFill="1"/>
    <xf numFmtId="3" fontId="8" fillId="0" borderId="0" xfId="0" applyNumberFormat="1" applyFont="1"/>
    <xf numFmtId="177" fontId="14" fillId="3" borderId="0" xfId="0" applyNumberFormat="1" applyFont="1" applyFill="1"/>
    <xf numFmtId="4" fontId="14" fillId="3" borderId="0" xfId="0" applyNumberFormat="1" applyFont="1" applyFill="1"/>
    <xf numFmtId="4" fontId="14" fillId="0" borderId="0" xfId="0" applyNumberFormat="1" applyFont="1"/>
    <xf numFmtId="3" fontId="9" fillId="3" borderId="0" xfId="0" applyNumberFormat="1" applyFont="1" applyFill="1"/>
    <xf numFmtId="3" fontId="9" fillId="0" borderId="0" xfId="0" applyNumberFormat="1" applyFont="1"/>
    <xf numFmtId="177" fontId="8" fillId="3" borderId="0" xfId="0" applyNumberFormat="1" applyFont="1" applyFill="1"/>
    <xf numFmtId="177" fontId="8" fillId="0" borderId="0" xfId="0" applyNumberFormat="1" applyFont="1"/>
    <xf numFmtId="3" fontId="8" fillId="3" borderId="0" xfId="0" applyNumberFormat="1" applyFont="1" applyFill="1"/>
    <xf numFmtId="0" fontId="13" fillId="0" borderId="0" xfId="0" applyFont="1"/>
  </cellXfs>
  <cellStyles count="1">
    <cellStyle name="標準" xfId="0" builtinId="0"/>
  </cellStyles>
  <dxfs count="0"/>
  <tableStyles count="0" defaultTableStyle="TableStyleMedium2" defaultPivotStyle="PivotStyleLight16"/>
  <colors>
    <indexedColors>
      <rgbColor rgb="FF000000"/>
      <rgbColor rgb="FFF5F5F5"/>
      <rgbColor rgb="FFFF0000"/>
      <rgbColor rgb="FF00FF00"/>
      <rgbColor rgb="FF0000C0"/>
      <rgbColor rgb="FFFFFF00"/>
      <rgbColor rgb="FFFF00FF"/>
      <rgbColor rgb="FF00FFFF"/>
      <rgbColor rgb="FF800000"/>
      <rgbColor rgb="FF008000"/>
      <rgbColor rgb="FF000080"/>
      <rgbColor rgb="FF808000"/>
      <rgbColor rgb="FF800080"/>
      <rgbColor rgb="FF008080"/>
      <rgbColor rgb="FFC0C0C0"/>
      <rgbColor rgb="FF737781"/>
      <rgbColor rgb="FF9999FF"/>
      <rgbColor rgb="FF993366"/>
      <rgbColor rgb="FFEDEDF3"/>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A4F8B"/>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4:D23"/>
  <sheetViews>
    <sheetView zoomScaleNormal="100" workbookViewId="0"/>
  </sheetViews>
  <sheetFormatPr baseColWidth="10" defaultColWidth="8.5" defaultRowHeight="15"/>
  <cols>
    <col min="2" max="2" width="22" customWidth="1"/>
    <col min="4" max="4" width="72" customWidth="1"/>
  </cols>
  <sheetData>
    <row r="4" spans="2:4" ht="41">
      <c r="B4" s="1" t="s">
        <v>0</v>
      </c>
    </row>
    <row r="6" spans="2:4" ht="25">
      <c r="B6" s="2" t="s">
        <v>1</v>
      </c>
    </row>
    <row r="8" spans="2:4" ht="18">
      <c r="B8" s="3" t="s">
        <v>2</v>
      </c>
    </row>
    <row r="10" spans="2:4">
      <c r="B10" s="4" t="s">
        <v>3</v>
      </c>
      <c r="D10" s="5" t="s">
        <v>4</v>
      </c>
    </row>
    <row r="11" spans="2:4" ht="17">
      <c r="B11" s="4" t="s">
        <v>5</v>
      </c>
      <c r="D11" s="5" t="s">
        <v>6</v>
      </c>
    </row>
    <row r="12" spans="2:4">
      <c r="B12" s="4" t="s">
        <v>7</v>
      </c>
      <c r="D12" s="5" t="s">
        <v>8</v>
      </c>
    </row>
    <row r="13" spans="2:4">
      <c r="B13" s="4" t="s">
        <v>9</v>
      </c>
      <c r="D13" s="5" t="s">
        <v>10</v>
      </c>
    </row>
    <row r="14" spans="2:4" ht="17">
      <c r="B14" s="4" t="s">
        <v>11</v>
      </c>
      <c r="D14" s="6" t="s">
        <v>12</v>
      </c>
    </row>
    <row r="15" spans="2:4" ht="17">
      <c r="B15" s="4" t="s">
        <v>13</v>
      </c>
      <c r="D15" s="6" t="s">
        <v>14</v>
      </c>
    </row>
    <row r="16" spans="2:4" ht="17">
      <c r="B16" s="4" t="s">
        <v>15</v>
      </c>
      <c r="D16" s="6" t="s">
        <v>16</v>
      </c>
    </row>
    <row r="17" spans="2:4">
      <c r="B17" s="4" t="s">
        <v>17</v>
      </c>
      <c r="D17" s="5" t="s">
        <v>18</v>
      </c>
    </row>
    <row r="18" spans="2:4" ht="17">
      <c r="B18" s="4" t="s">
        <v>19</v>
      </c>
      <c r="D18" s="6" t="s">
        <v>20</v>
      </c>
    </row>
    <row r="21" spans="2:4">
      <c r="B21" s="7" t="s">
        <v>21</v>
      </c>
    </row>
    <row r="22" spans="2:4">
      <c r="B22" s="7" t="s">
        <v>22</v>
      </c>
    </row>
    <row r="23" spans="2:4">
      <c r="B23" s="7" t="s">
        <v>23</v>
      </c>
    </row>
  </sheetData>
  <phoneticPr fontId="16"/>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3"/>
  <sheetViews>
    <sheetView topLeftCell="A21" zoomScaleNormal="100" workbookViewId="0"/>
  </sheetViews>
  <sheetFormatPr baseColWidth="10" defaultColWidth="8.5" defaultRowHeight="15"/>
  <cols>
    <col min="1" max="1" width="3" customWidth="1"/>
    <col min="2" max="2" width="36" customWidth="1"/>
    <col min="3" max="10" width="12" customWidth="1"/>
  </cols>
  <sheetData>
    <row r="1" spans="1:10" ht="22">
      <c r="A1" s="8" t="s">
        <v>24</v>
      </c>
    </row>
    <row r="2" spans="1:10">
      <c r="A2" s="7" t="s">
        <v>25</v>
      </c>
      <c r="H2" s="4" t="s">
        <v>26</v>
      </c>
    </row>
    <row r="4" spans="1:10">
      <c r="C4" s="9"/>
      <c r="D4" s="9"/>
      <c r="E4" s="9"/>
      <c r="F4" s="9"/>
      <c r="G4" s="9"/>
      <c r="H4" s="9"/>
      <c r="I4" s="9"/>
      <c r="J4" s="9"/>
    </row>
    <row r="5" spans="1:10">
      <c r="C5" s="10"/>
      <c r="D5" s="10"/>
      <c r="E5" s="10"/>
      <c r="F5" s="10"/>
      <c r="G5" s="10"/>
      <c r="H5" s="10"/>
      <c r="I5" s="10"/>
      <c r="J5" s="10"/>
    </row>
    <row r="6" spans="1:10">
      <c r="B6" s="4" t="s">
        <v>27</v>
      </c>
    </row>
    <row r="8" spans="1:10" ht="17">
      <c r="B8" s="5" t="s">
        <v>28</v>
      </c>
      <c r="D8" s="11">
        <v>9000</v>
      </c>
    </row>
    <row r="9" spans="1:10" ht="17">
      <c r="B9" s="6" t="s">
        <v>29</v>
      </c>
      <c r="D9" s="12">
        <v>8</v>
      </c>
    </row>
    <row r="10" spans="1:10" ht="17">
      <c r="B10" s="5" t="s">
        <v>30</v>
      </c>
      <c r="D10" s="11">
        <v>9220</v>
      </c>
    </row>
    <row r="11" spans="1:10" ht="17">
      <c r="B11" s="5" t="s">
        <v>31</v>
      </c>
      <c r="D11" s="11">
        <v>4800</v>
      </c>
    </row>
    <row r="12" spans="1:10" ht="17">
      <c r="B12" s="5" t="s">
        <v>32</v>
      </c>
      <c r="D12" s="11">
        <v>4620</v>
      </c>
    </row>
    <row r="13" spans="1:10" ht="17">
      <c r="B13" s="5" t="s">
        <v>33</v>
      </c>
      <c r="D13" s="11">
        <v>400</v>
      </c>
    </row>
    <row r="14" spans="1:10" ht="17">
      <c r="B14" s="5" t="s">
        <v>34</v>
      </c>
      <c r="D14" s="11">
        <v>180</v>
      </c>
    </row>
    <row r="15" spans="1:10" ht="17">
      <c r="B15" s="5" t="s">
        <v>35</v>
      </c>
      <c r="D15" s="11">
        <v>380</v>
      </c>
    </row>
    <row r="16" spans="1:10" ht="17">
      <c r="B16" s="5" t="s">
        <v>36</v>
      </c>
      <c r="D16" s="11">
        <v>6100</v>
      </c>
    </row>
    <row r="17" spans="2:10" ht="17">
      <c r="B17" s="5" t="s">
        <v>37</v>
      </c>
      <c r="D17" s="13">
        <v>7</v>
      </c>
    </row>
    <row r="18" spans="2:10" ht="17">
      <c r="B18" s="5" t="s">
        <v>38</v>
      </c>
      <c r="D18" s="14">
        <v>2.3E-2</v>
      </c>
    </row>
    <row r="19" spans="2:10" ht="17">
      <c r="B19" s="5" t="s">
        <v>39</v>
      </c>
      <c r="D19" s="11">
        <v>480</v>
      </c>
    </row>
    <row r="21" spans="2:10" ht="17">
      <c r="B21" s="5" t="s">
        <v>40</v>
      </c>
      <c r="D21" s="11">
        <v>1120</v>
      </c>
    </row>
    <row r="22" spans="2:10" ht="17">
      <c r="B22" s="5" t="s">
        <v>13</v>
      </c>
      <c r="D22" s="15" t="s">
        <v>41</v>
      </c>
    </row>
    <row r="23" spans="2:10" ht="17">
      <c r="B23" s="5" t="s">
        <v>42</v>
      </c>
      <c r="D23" s="16" t="s">
        <v>43</v>
      </c>
    </row>
    <row r="25" spans="2:10">
      <c r="B25" s="7" t="s">
        <v>44</v>
      </c>
    </row>
    <row r="26" spans="2:10">
      <c r="B26" s="17" t="s">
        <v>45</v>
      </c>
    </row>
    <row r="27" spans="2:10">
      <c r="C27" s="18" t="s">
        <v>46</v>
      </c>
      <c r="D27" s="18" t="s">
        <v>47</v>
      </c>
      <c r="E27" s="18" t="s">
        <v>48</v>
      </c>
      <c r="F27" s="18" t="s">
        <v>49</v>
      </c>
      <c r="G27" s="18" t="s">
        <v>50</v>
      </c>
      <c r="H27" s="18" t="s">
        <v>51</v>
      </c>
      <c r="I27" s="18" t="s">
        <v>52</v>
      </c>
      <c r="J27" s="18" t="s">
        <v>53</v>
      </c>
    </row>
    <row r="28" spans="2:10">
      <c r="C28" s="10" t="s">
        <v>54</v>
      </c>
      <c r="D28" s="10" t="s">
        <v>54</v>
      </c>
      <c r="E28" s="10" t="s">
        <v>54</v>
      </c>
      <c r="F28" s="10" t="s">
        <v>55</v>
      </c>
      <c r="G28" s="10" t="s">
        <v>55</v>
      </c>
      <c r="H28" s="10" t="s">
        <v>55</v>
      </c>
      <c r="I28" s="10" t="s">
        <v>55</v>
      </c>
      <c r="J28" s="10" t="s">
        <v>55</v>
      </c>
    </row>
    <row r="30" spans="2:10" ht="17">
      <c r="B30" s="5" t="s">
        <v>56</v>
      </c>
      <c r="C30" s="19">
        <v>196000</v>
      </c>
      <c r="D30" s="19">
        <v>212000</v>
      </c>
      <c r="E30" s="19">
        <v>228000</v>
      </c>
      <c r="F30" s="20">
        <f>ROUND(E30*F31+F32,0)</f>
        <v>239280</v>
      </c>
      <c r="G30" s="20">
        <f>ROUND(F30*G31+G32,0)</f>
        <v>247853</v>
      </c>
      <c r="H30" s="20">
        <f>ROUND(G30*H31+H32,0)</f>
        <v>254368</v>
      </c>
      <c r="I30" s="20">
        <f>ROUND(H30*I31+I32,0)</f>
        <v>259320</v>
      </c>
      <c r="J30" s="20">
        <f>ROUND(I30*J31+J32,0)</f>
        <v>263083</v>
      </c>
    </row>
    <row r="31" spans="2:10" ht="17">
      <c r="B31" s="5" t="s">
        <v>57</v>
      </c>
      <c r="C31" s="21">
        <v>0.74</v>
      </c>
      <c r="D31" s="21">
        <v>0.75</v>
      </c>
      <c r="E31" s="21">
        <v>0.76</v>
      </c>
      <c r="F31" s="14">
        <v>0.76</v>
      </c>
      <c r="G31" s="14">
        <v>0.76</v>
      </c>
      <c r="H31" s="14">
        <v>0.76</v>
      </c>
      <c r="I31" s="14">
        <v>0.76</v>
      </c>
      <c r="J31" s="14">
        <v>0.76</v>
      </c>
    </row>
    <row r="32" spans="2:10" ht="17">
      <c r="B32" s="5" t="s">
        <v>58</v>
      </c>
      <c r="C32" s="19">
        <v>58000</v>
      </c>
      <c r="D32" s="19">
        <v>65000</v>
      </c>
      <c r="E32" s="19">
        <v>69000</v>
      </c>
      <c r="F32" s="11">
        <v>66000</v>
      </c>
      <c r="G32" s="11">
        <v>66000</v>
      </c>
      <c r="H32" s="11">
        <v>66000</v>
      </c>
      <c r="I32" s="11">
        <v>66000</v>
      </c>
      <c r="J32" s="11">
        <v>66000</v>
      </c>
    </row>
    <row r="33" spans="2:10" ht="17">
      <c r="B33" s="5" t="s">
        <v>59</v>
      </c>
      <c r="C33" s="22">
        <v>2.4500000000000002</v>
      </c>
      <c r="D33" s="22">
        <v>2.52</v>
      </c>
      <c r="E33" s="22">
        <v>2.6</v>
      </c>
      <c r="F33" s="23">
        <v>2.6</v>
      </c>
      <c r="G33" s="23">
        <v>2.61</v>
      </c>
      <c r="H33" s="23">
        <v>2.62</v>
      </c>
      <c r="I33" s="23">
        <v>2.64</v>
      </c>
      <c r="J33" s="23">
        <v>2.65</v>
      </c>
    </row>
    <row r="34" spans="2:10" ht="17">
      <c r="B34" s="5" t="s">
        <v>60</v>
      </c>
      <c r="C34" s="19">
        <v>6400</v>
      </c>
      <c r="D34" s="19">
        <v>6520</v>
      </c>
      <c r="E34" s="19">
        <v>6650</v>
      </c>
      <c r="F34" s="11">
        <v>6720</v>
      </c>
      <c r="G34" s="11">
        <v>6790</v>
      </c>
      <c r="H34" s="11">
        <v>6860</v>
      </c>
      <c r="I34" s="11">
        <v>6930</v>
      </c>
      <c r="J34" s="11">
        <v>7000</v>
      </c>
    </row>
    <row r="35" spans="2:10" ht="17">
      <c r="B35" s="5" t="s">
        <v>61</v>
      </c>
      <c r="C35" s="19">
        <v>3980</v>
      </c>
      <c r="D35" s="19">
        <v>4060</v>
      </c>
      <c r="E35" s="19">
        <v>4150</v>
      </c>
      <c r="F35" s="11">
        <v>4200</v>
      </c>
      <c r="G35" s="11">
        <v>4240</v>
      </c>
      <c r="H35" s="11">
        <v>4280</v>
      </c>
      <c r="I35" s="11">
        <v>4320</v>
      </c>
      <c r="J35" s="11">
        <v>4350</v>
      </c>
    </row>
    <row r="36" spans="2:10" ht="17">
      <c r="B36" s="5" t="s">
        <v>62</v>
      </c>
      <c r="C36" s="19">
        <v>930</v>
      </c>
      <c r="D36" s="19">
        <v>975</v>
      </c>
      <c r="E36" s="19">
        <v>1010</v>
      </c>
      <c r="F36" s="11">
        <v>1020</v>
      </c>
      <c r="G36" s="11">
        <v>1028</v>
      </c>
      <c r="H36" s="11">
        <v>1035</v>
      </c>
      <c r="I36" s="11">
        <v>1043</v>
      </c>
      <c r="J36" s="11">
        <v>1050</v>
      </c>
    </row>
    <row r="37" spans="2:10" ht="17">
      <c r="B37" s="5" t="s">
        <v>63</v>
      </c>
      <c r="C37" s="21">
        <v>0.42</v>
      </c>
      <c r="D37" s="21">
        <v>0.41499999999999998</v>
      </c>
      <c r="E37" s="21">
        <v>0.41</v>
      </c>
      <c r="F37" s="14">
        <v>0.41</v>
      </c>
      <c r="G37" s="14">
        <v>0.41</v>
      </c>
      <c r="H37" s="14">
        <v>0.41</v>
      </c>
      <c r="I37" s="14">
        <v>0.41</v>
      </c>
      <c r="J37" s="14">
        <v>0.41</v>
      </c>
    </row>
    <row r="38" spans="2:10" ht="17">
      <c r="B38" s="5" t="s">
        <v>64</v>
      </c>
      <c r="C38" s="21">
        <v>0.17</v>
      </c>
      <c r="D38" s="21">
        <v>0.17499999999999999</v>
      </c>
      <c r="E38" s="21">
        <v>0.18</v>
      </c>
      <c r="F38" s="14">
        <v>0.18</v>
      </c>
      <c r="G38" s="14">
        <v>0.18</v>
      </c>
      <c r="H38" s="14">
        <v>0.18</v>
      </c>
      <c r="I38" s="14">
        <v>0.18</v>
      </c>
      <c r="J38" s="14">
        <v>0.18</v>
      </c>
    </row>
    <row r="39" spans="2:10" ht="17">
      <c r="B39" s="5" t="s">
        <v>65</v>
      </c>
      <c r="C39" s="21">
        <v>8.2000000000000003E-2</v>
      </c>
      <c r="D39" s="21">
        <v>8.1000000000000003E-2</v>
      </c>
      <c r="E39" s="21">
        <v>0.08</v>
      </c>
      <c r="F39" s="14">
        <v>0.08</v>
      </c>
      <c r="G39" s="14">
        <v>0.08</v>
      </c>
      <c r="H39" s="14">
        <v>0.08</v>
      </c>
      <c r="I39" s="14">
        <v>0.08</v>
      </c>
      <c r="J39" s="14">
        <v>0.08</v>
      </c>
    </row>
    <row r="41" spans="2:10" ht="17">
      <c r="B41" s="5" t="s">
        <v>66</v>
      </c>
      <c r="F41" s="11">
        <v>170</v>
      </c>
      <c r="G41" s="11">
        <v>170</v>
      </c>
      <c r="H41" s="11">
        <v>170</v>
      </c>
      <c r="I41" s="11">
        <v>170</v>
      </c>
      <c r="J41" s="11">
        <v>170</v>
      </c>
    </row>
    <row r="43" spans="2:10">
      <c r="B43" s="7" t="s">
        <v>67</v>
      </c>
    </row>
  </sheetData>
  <phoneticPr fontId="16"/>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2"/>
  <sheetViews>
    <sheetView tabSelected="1" zoomScaleNormal="100" workbookViewId="0">
      <selection activeCell="B12" sqref="B12"/>
    </sheetView>
  </sheetViews>
  <sheetFormatPr baseColWidth="10" defaultColWidth="8.5" defaultRowHeight="15"/>
  <cols>
    <col min="1" max="1" width="3" customWidth="1"/>
    <col min="2" max="2" width="36" customWidth="1"/>
    <col min="3" max="10" width="12" customWidth="1"/>
  </cols>
  <sheetData>
    <row r="1" spans="1:10" ht="22">
      <c r="A1" s="8" t="s">
        <v>68</v>
      </c>
    </row>
    <row r="2" spans="1:10">
      <c r="A2" s="7" t="s">
        <v>69</v>
      </c>
      <c r="H2" s="4" t="s">
        <v>26</v>
      </c>
    </row>
    <row r="4" spans="1:10">
      <c r="C4" s="18" t="s">
        <v>46</v>
      </c>
      <c r="D4" s="18" t="s">
        <v>47</v>
      </c>
      <c r="E4" s="18" t="s">
        <v>48</v>
      </c>
      <c r="F4" s="18" t="s">
        <v>49</v>
      </c>
      <c r="G4" s="18" t="s">
        <v>50</v>
      </c>
      <c r="H4" s="18" t="s">
        <v>51</v>
      </c>
      <c r="I4" s="18" t="s">
        <v>52</v>
      </c>
      <c r="J4" s="18" t="s">
        <v>53</v>
      </c>
    </row>
    <row r="5" spans="1:10">
      <c r="C5" s="10" t="s">
        <v>54</v>
      </c>
      <c r="D5" s="10" t="s">
        <v>54</v>
      </c>
      <c r="E5" s="10" t="s">
        <v>54</v>
      </c>
      <c r="F5" s="10" t="s">
        <v>55</v>
      </c>
      <c r="G5" s="10" t="s">
        <v>55</v>
      </c>
      <c r="H5" s="10" t="s">
        <v>55</v>
      </c>
      <c r="I5" s="10" t="s">
        <v>55</v>
      </c>
      <c r="J5" s="10" t="s">
        <v>55</v>
      </c>
    </row>
    <row r="7" spans="1:10" ht="17">
      <c r="B7" s="6" t="s">
        <v>70</v>
      </c>
      <c r="C7" s="19">
        <v>3073</v>
      </c>
      <c r="D7" s="19">
        <v>3483</v>
      </c>
      <c r="E7" s="19">
        <v>3942</v>
      </c>
      <c r="F7" s="20">
        <f>ROUND(inp!F30*inp!F33*inp!F34/10^6,0)</f>
        <v>4181</v>
      </c>
      <c r="G7" s="20">
        <f>ROUND(inp!G30*inp!G33*inp!G34/10^6,0)</f>
        <v>4392</v>
      </c>
      <c r="H7" s="20">
        <f>ROUND(inp!H30*inp!H33*inp!H34/10^6,0)</f>
        <v>4572</v>
      </c>
      <c r="I7" s="20">
        <f>ROUND(inp!I30*inp!I33*inp!I34/10^6,0)</f>
        <v>4744</v>
      </c>
      <c r="J7" s="20">
        <f>ROUND(inp!J30*inp!J33*inp!J34/10^6,0)</f>
        <v>4880</v>
      </c>
    </row>
    <row r="8" spans="1:10" ht="17">
      <c r="B8" s="5" t="s">
        <v>71</v>
      </c>
      <c r="C8" s="19">
        <v>3701</v>
      </c>
      <c r="D8" s="19">
        <v>3959</v>
      </c>
      <c r="E8" s="19">
        <v>4192</v>
      </c>
      <c r="F8" s="20">
        <f>ROUND(inp!F35*inp!F36/1000,0)</f>
        <v>4284</v>
      </c>
      <c r="G8" s="20">
        <f>ROUND(inp!G35*inp!G36/1000,0)</f>
        <v>4359</v>
      </c>
      <c r="H8" s="20">
        <f>ROUND(inp!H35*inp!H36/1000,0)</f>
        <v>4430</v>
      </c>
      <c r="I8" s="20">
        <f>ROUND(inp!I35*inp!I36/1000,0)</f>
        <v>4506</v>
      </c>
      <c r="J8" s="20">
        <f>ROUND(inp!J35*inp!J36/1000,0)</f>
        <v>4568</v>
      </c>
    </row>
    <row r="9" spans="1:10" ht="17">
      <c r="B9" s="5" t="s">
        <v>72</v>
      </c>
      <c r="C9" s="19">
        <v>1014</v>
      </c>
      <c r="D9" s="19">
        <v>1058</v>
      </c>
      <c r="E9" s="19">
        <v>1106</v>
      </c>
      <c r="F9" s="11">
        <v>1130</v>
      </c>
      <c r="G9" s="11">
        <v>1155</v>
      </c>
      <c r="H9" s="11">
        <v>1180</v>
      </c>
      <c r="I9" s="11">
        <v>1205</v>
      </c>
      <c r="J9" s="11">
        <v>1230</v>
      </c>
    </row>
    <row r="10" spans="1:10">
      <c r="B10" s="4" t="s">
        <v>73</v>
      </c>
      <c r="C10" s="24">
        <f t="shared" ref="C10:J10" si="0">SUM(C7:C9)</f>
        <v>7788</v>
      </c>
      <c r="D10" s="24">
        <f t="shared" si="0"/>
        <v>8500</v>
      </c>
      <c r="E10" s="24">
        <f t="shared" si="0"/>
        <v>9240</v>
      </c>
      <c r="F10" s="25">
        <f t="shared" si="0"/>
        <v>9595</v>
      </c>
      <c r="G10" s="25">
        <f t="shared" si="0"/>
        <v>9906</v>
      </c>
      <c r="H10" s="25">
        <f t="shared" si="0"/>
        <v>10182</v>
      </c>
      <c r="I10" s="25">
        <f t="shared" si="0"/>
        <v>10455</v>
      </c>
      <c r="J10" s="25">
        <f t="shared" si="0"/>
        <v>10678</v>
      </c>
    </row>
    <row r="12" spans="1:10" ht="17">
      <c r="B12" s="5" t="s">
        <v>74</v>
      </c>
      <c r="C12" s="19">
        <v>3271</v>
      </c>
      <c r="D12" s="19">
        <v>3528</v>
      </c>
      <c r="E12" s="19">
        <v>3788</v>
      </c>
      <c r="F12" s="20">
        <f>ROUND(F10*inp!F37,0)</f>
        <v>3934</v>
      </c>
      <c r="G12" s="20">
        <f>ROUND(G10*inp!G37,0)</f>
        <v>4061</v>
      </c>
      <c r="H12" s="20">
        <f>ROUND(H10*inp!H37,0)</f>
        <v>4175</v>
      </c>
      <c r="I12" s="20">
        <f>ROUND(I10*inp!I37,0)</f>
        <v>4287</v>
      </c>
      <c r="J12" s="20">
        <f>ROUND(J10*inp!J37,0)</f>
        <v>4378</v>
      </c>
    </row>
    <row r="13" spans="1:10">
      <c r="B13" s="4" t="s">
        <v>75</v>
      </c>
      <c r="C13" s="24">
        <f t="shared" ref="C13:J13" si="1">C10-C12</f>
        <v>4517</v>
      </c>
      <c r="D13" s="24">
        <f t="shared" si="1"/>
        <v>4972</v>
      </c>
      <c r="E13" s="24">
        <f t="shared" si="1"/>
        <v>5452</v>
      </c>
      <c r="F13" s="25">
        <f>F10-F12</f>
        <v>5661</v>
      </c>
      <c r="G13" s="25">
        <f t="shared" si="1"/>
        <v>5845</v>
      </c>
      <c r="H13" s="25">
        <f t="shared" si="1"/>
        <v>6007</v>
      </c>
      <c r="I13" s="25">
        <f t="shared" si="1"/>
        <v>6168</v>
      </c>
      <c r="J13" s="25">
        <f t="shared" si="1"/>
        <v>6300</v>
      </c>
    </row>
    <row r="14" spans="1:10" ht="17">
      <c r="B14" s="5" t="s">
        <v>76</v>
      </c>
      <c r="C14" s="26">
        <f t="shared" ref="C14:J14" si="2">C13/C10</f>
        <v>0.57999486389316901</v>
      </c>
      <c r="D14" s="26">
        <f t="shared" si="2"/>
        <v>0.58494117647058819</v>
      </c>
      <c r="E14" s="26">
        <f t="shared" si="2"/>
        <v>0.59004329004329004</v>
      </c>
      <c r="F14" s="27">
        <f t="shared" si="2"/>
        <v>0.58999478895257951</v>
      </c>
      <c r="G14" s="27">
        <f t="shared" si="2"/>
        <v>0.59004643650312938</v>
      </c>
      <c r="H14" s="27">
        <f t="shared" si="2"/>
        <v>0.58996267923787071</v>
      </c>
      <c r="I14" s="27">
        <f t="shared" si="2"/>
        <v>0.58995695839311335</v>
      </c>
      <c r="J14" s="27">
        <f t="shared" si="2"/>
        <v>0.58999812699007304</v>
      </c>
    </row>
    <row r="16" spans="1:10" ht="17">
      <c r="B16" s="5" t="s">
        <v>77</v>
      </c>
      <c r="C16" s="19">
        <v>1324</v>
      </c>
      <c r="D16" s="19">
        <v>1488</v>
      </c>
      <c r="E16" s="19">
        <v>1663</v>
      </c>
      <c r="F16" s="20">
        <f>ROUND(F10*inp!F38,0)</f>
        <v>1727</v>
      </c>
      <c r="G16" s="20">
        <f>ROUND(G10*inp!G38,0)</f>
        <v>1783</v>
      </c>
      <c r="H16" s="20">
        <f>ROUND(H10*inp!H38,0)</f>
        <v>1833</v>
      </c>
      <c r="I16" s="20">
        <f>ROUND(I10*inp!I38,0)</f>
        <v>1882</v>
      </c>
      <c r="J16" s="20">
        <f>ROUND(J10*inp!J38,0)</f>
        <v>1922</v>
      </c>
    </row>
    <row r="17" spans="2:10" ht="17">
      <c r="B17" s="5" t="s">
        <v>78</v>
      </c>
      <c r="C17" s="19">
        <v>639</v>
      </c>
      <c r="D17" s="19">
        <v>689</v>
      </c>
      <c r="E17" s="19">
        <v>739</v>
      </c>
      <c r="F17" s="20">
        <f>ROUND(F10*inp!F39,0)</f>
        <v>768</v>
      </c>
      <c r="G17" s="20">
        <f>ROUND(G10*inp!G39,0)</f>
        <v>792</v>
      </c>
      <c r="H17" s="20">
        <f>ROUND(H10*inp!H39,0)</f>
        <v>815</v>
      </c>
      <c r="I17" s="20">
        <f>ROUND(I10*inp!I39,0)</f>
        <v>836</v>
      </c>
      <c r="J17" s="20">
        <f>ROUND(J10*inp!J39,0)</f>
        <v>854</v>
      </c>
    </row>
    <row r="18" spans="2:10" ht="17">
      <c r="B18" s="5" t="s">
        <v>79</v>
      </c>
      <c r="C18" s="19">
        <v>870</v>
      </c>
      <c r="D18" s="19">
        <v>905</v>
      </c>
      <c r="E18" s="19">
        <v>950</v>
      </c>
      <c r="F18" s="11">
        <v>975</v>
      </c>
      <c r="G18" s="11">
        <v>1000</v>
      </c>
      <c r="H18" s="11">
        <v>1025</v>
      </c>
      <c r="I18" s="11">
        <v>1050</v>
      </c>
      <c r="J18" s="11">
        <v>1075</v>
      </c>
    </row>
    <row r="19" spans="2:10" ht="17">
      <c r="B19" s="5" t="s">
        <v>80</v>
      </c>
      <c r="C19" s="19">
        <v>1050</v>
      </c>
      <c r="D19" s="19">
        <v>1096</v>
      </c>
      <c r="E19" s="19">
        <v>1140</v>
      </c>
      <c r="F19" s="11">
        <v>1165</v>
      </c>
      <c r="G19" s="11">
        <v>1190</v>
      </c>
      <c r="H19" s="11">
        <v>1215</v>
      </c>
      <c r="I19" s="11">
        <v>1240</v>
      </c>
      <c r="J19" s="11">
        <v>1265</v>
      </c>
    </row>
    <row r="20" spans="2:10" ht="17">
      <c r="B20" s="5" t="s">
        <v>81</v>
      </c>
      <c r="C20" s="28">
        <f t="shared" ref="C20:J20" si="3">SUM(C16:C19)</f>
        <v>3883</v>
      </c>
      <c r="D20" s="28">
        <f t="shared" si="3"/>
        <v>4178</v>
      </c>
      <c r="E20" s="28">
        <f t="shared" si="3"/>
        <v>4492</v>
      </c>
      <c r="F20" s="20">
        <f t="shared" si="3"/>
        <v>4635</v>
      </c>
      <c r="G20" s="20">
        <f t="shared" si="3"/>
        <v>4765</v>
      </c>
      <c r="H20" s="20">
        <f t="shared" si="3"/>
        <v>4888</v>
      </c>
      <c r="I20" s="20">
        <f t="shared" si="3"/>
        <v>5008</v>
      </c>
      <c r="J20" s="20">
        <f t="shared" si="3"/>
        <v>5116</v>
      </c>
    </row>
    <row r="21" spans="2:10">
      <c r="B21" s="4" t="s">
        <v>82</v>
      </c>
      <c r="C21" s="24">
        <f t="shared" ref="C21:J21" si="4">C13-C20</f>
        <v>634</v>
      </c>
      <c r="D21" s="24">
        <f t="shared" si="4"/>
        <v>794</v>
      </c>
      <c r="E21" s="24">
        <f t="shared" si="4"/>
        <v>960</v>
      </c>
      <c r="F21" s="25">
        <f t="shared" si="4"/>
        <v>1026</v>
      </c>
      <c r="G21" s="25">
        <f t="shared" si="4"/>
        <v>1080</v>
      </c>
      <c r="H21" s="25">
        <f t="shared" si="4"/>
        <v>1119</v>
      </c>
      <c r="I21" s="25">
        <f t="shared" si="4"/>
        <v>1160</v>
      </c>
      <c r="J21" s="25">
        <f t="shared" si="4"/>
        <v>1184</v>
      </c>
    </row>
    <row r="22" spans="2:10" ht="17">
      <c r="B22" s="5" t="s">
        <v>83</v>
      </c>
      <c r="C22" s="26">
        <f t="shared" ref="C22:J22" si="5">C21/C10</f>
        <v>8.1407293271700057E-2</v>
      </c>
      <c r="D22" s="26">
        <f t="shared" si="5"/>
        <v>9.3411764705882347E-2</v>
      </c>
      <c r="E22" s="26">
        <f t="shared" si="5"/>
        <v>0.1038961038961039</v>
      </c>
      <c r="F22" s="27">
        <f t="shared" si="5"/>
        <v>0.10693069306930693</v>
      </c>
      <c r="G22" s="27">
        <f t="shared" si="5"/>
        <v>0.10902483343428225</v>
      </c>
      <c r="H22" s="27">
        <f t="shared" si="5"/>
        <v>0.10989982321744254</v>
      </c>
      <c r="I22" s="27">
        <f t="shared" si="5"/>
        <v>0.11095169775227164</v>
      </c>
      <c r="J22" s="27">
        <f t="shared" si="5"/>
        <v>0.11088218767559468</v>
      </c>
    </row>
    <row r="24" spans="2:10" ht="17">
      <c r="B24" s="5" t="s">
        <v>84</v>
      </c>
      <c r="C24" s="19">
        <v>150</v>
      </c>
      <c r="D24" s="19">
        <v>155</v>
      </c>
      <c r="E24" s="19">
        <v>160</v>
      </c>
      <c r="F24" s="11">
        <v>165</v>
      </c>
      <c r="G24" s="11">
        <v>168</v>
      </c>
      <c r="H24" s="11">
        <v>171</v>
      </c>
      <c r="I24" s="11">
        <v>174</v>
      </c>
      <c r="J24" s="11">
        <v>177</v>
      </c>
    </row>
    <row r="25" spans="2:10">
      <c r="B25" s="17" t="s">
        <v>85</v>
      </c>
      <c r="C25" s="24">
        <f t="shared" ref="C25:J25" si="6">C21+C24</f>
        <v>784</v>
      </c>
      <c r="D25" s="24">
        <f t="shared" si="6"/>
        <v>949</v>
      </c>
      <c r="E25" s="24">
        <f t="shared" si="6"/>
        <v>1120</v>
      </c>
      <c r="F25" s="25">
        <f t="shared" si="6"/>
        <v>1191</v>
      </c>
      <c r="G25" s="25">
        <f t="shared" si="6"/>
        <v>1248</v>
      </c>
      <c r="H25" s="25">
        <f t="shared" si="6"/>
        <v>1290</v>
      </c>
      <c r="I25" s="25">
        <f t="shared" si="6"/>
        <v>1334</v>
      </c>
      <c r="J25" s="25">
        <f t="shared" si="6"/>
        <v>1361</v>
      </c>
    </row>
    <row r="26" spans="2:10" ht="17">
      <c r="B26" s="6" t="s">
        <v>86</v>
      </c>
      <c r="C26" s="26">
        <f t="shared" ref="C26:J26" si="7">C25/C10</f>
        <v>0.10066769388803287</v>
      </c>
      <c r="D26" s="26">
        <f t="shared" si="7"/>
        <v>0.11164705882352942</v>
      </c>
      <c r="E26" s="26">
        <f t="shared" si="7"/>
        <v>0.12121212121212122</v>
      </c>
      <c r="F26" s="27">
        <f t="shared" si="7"/>
        <v>0.12412714955706097</v>
      </c>
      <c r="G26" s="27">
        <f t="shared" si="7"/>
        <v>0.12598425196850394</v>
      </c>
      <c r="H26" s="27">
        <f t="shared" si="7"/>
        <v>0.126694166175604</v>
      </c>
      <c r="I26" s="27">
        <f t="shared" si="7"/>
        <v>0.12759445241511239</v>
      </c>
      <c r="J26" s="27">
        <f t="shared" si="7"/>
        <v>0.12745832552912531</v>
      </c>
    </row>
    <row r="28" spans="2:10" ht="17">
      <c r="B28" s="5" t="s">
        <v>87</v>
      </c>
      <c r="C28" s="19">
        <v>28</v>
      </c>
      <c r="D28" s="19">
        <v>25</v>
      </c>
      <c r="E28" s="19">
        <v>22</v>
      </c>
      <c r="F28" s="20">
        <f>debt!F12</f>
        <v>105</v>
      </c>
      <c r="G28" s="20">
        <f>debt!G12</f>
        <v>94</v>
      </c>
      <c r="H28" s="20">
        <f>debt!H12</f>
        <v>83</v>
      </c>
      <c r="I28" s="20">
        <f>debt!I12</f>
        <v>72</v>
      </c>
      <c r="J28" s="20">
        <f>debt!J12</f>
        <v>61</v>
      </c>
    </row>
    <row r="29" spans="2:10" ht="17">
      <c r="B29" s="5" t="s">
        <v>88</v>
      </c>
      <c r="C29" s="19">
        <v>6</v>
      </c>
      <c r="D29" s="19">
        <v>7</v>
      </c>
      <c r="E29" s="19">
        <v>8</v>
      </c>
      <c r="F29" s="11">
        <v>8</v>
      </c>
      <c r="G29" s="11">
        <v>8</v>
      </c>
      <c r="H29" s="11">
        <v>8</v>
      </c>
      <c r="I29" s="11">
        <v>8</v>
      </c>
      <c r="J29" s="11">
        <v>8</v>
      </c>
    </row>
    <row r="30" spans="2:10">
      <c r="B30" s="4" t="s">
        <v>89</v>
      </c>
      <c r="C30" s="24">
        <f t="shared" ref="C30:J30" si="8">C21-C28+C29</f>
        <v>612</v>
      </c>
      <c r="D30" s="24">
        <f t="shared" si="8"/>
        <v>776</v>
      </c>
      <c r="E30" s="24">
        <f t="shared" si="8"/>
        <v>946</v>
      </c>
      <c r="F30" s="25">
        <f t="shared" si="8"/>
        <v>929</v>
      </c>
      <c r="G30" s="25">
        <f t="shared" si="8"/>
        <v>994</v>
      </c>
      <c r="H30" s="25">
        <f t="shared" si="8"/>
        <v>1044</v>
      </c>
      <c r="I30" s="25">
        <f t="shared" si="8"/>
        <v>1096</v>
      </c>
      <c r="J30" s="25">
        <f t="shared" si="8"/>
        <v>1131</v>
      </c>
    </row>
    <row r="31" spans="2:10" ht="17">
      <c r="B31" s="5" t="s">
        <v>90</v>
      </c>
      <c r="C31" s="28">
        <f t="shared" ref="C31:J31" si="9">ROUND(C30*0.305,0)</f>
        <v>187</v>
      </c>
      <c r="D31" s="28">
        <f t="shared" si="9"/>
        <v>237</v>
      </c>
      <c r="E31" s="28">
        <f t="shared" si="9"/>
        <v>289</v>
      </c>
      <c r="F31" s="20">
        <f t="shared" si="9"/>
        <v>283</v>
      </c>
      <c r="G31" s="20">
        <f t="shared" si="9"/>
        <v>303</v>
      </c>
      <c r="H31" s="20">
        <f t="shared" si="9"/>
        <v>318</v>
      </c>
      <c r="I31" s="20">
        <f t="shared" si="9"/>
        <v>334</v>
      </c>
      <c r="J31" s="20">
        <f t="shared" si="9"/>
        <v>345</v>
      </c>
    </row>
    <row r="32" spans="2:10">
      <c r="B32" s="4" t="s">
        <v>91</v>
      </c>
      <c r="C32" s="24">
        <f t="shared" ref="C32:J32" si="10">C30-C31</f>
        <v>425</v>
      </c>
      <c r="D32" s="24">
        <f t="shared" si="10"/>
        <v>539</v>
      </c>
      <c r="E32" s="24">
        <f t="shared" si="10"/>
        <v>657</v>
      </c>
      <c r="F32" s="25">
        <f t="shared" si="10"/>
        <v>646</v>
      </c>
      <c r="G32" s="25">
        <f t="shared" si="10"/>
        <v>691</v>
      </c>
      <c r="H32" s="25">
        <f t="shared" si="10"/>
        <v>726</v>
      </c>
      <c r="I32" s="25">
        <f t="shared" si="10"/>
        <v>762</v>
      </c>
      <c r="J32" s="25">
        <f t="shared" si="10"/>
        <v>786</v>
      </c>
    </row>
  </sheetData>
  <phoneticPr fontId="16"/>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Normal="100" workbookViewId="0"/>
  </sheetViews>
  <sheetFormatPr baseColWidth="10" defaultColWidth="8.5" defaultRowHeight="15"/>
  <cols>
    <col min="1" max="1" width="3" customWidth="1"/>
    <col min="2" max="2" width="36" customWidth="1"/>
    <col min="3" max="10" width="12" customWidth="1"/>
  </cols>
  <sheetData>
    <row r="1" spans="1:10" ht="22">
      <c r="A1" s="8" t="s">
        <v>92</v>
      </c>
    </row>
    <row r="2" spans="1:10">
      <c r="A2" s="7" t="s">
        <v>69</v>
      </c>
      <c r="H2" s="4" t="s">
        <v>26</v>
      </c>
    </row>
    <row r="4" spans="1:10">
      <c r="C4" s="18" t="s">
        <v>46</v>
      </c>
      <c r="D4" s="18" t="s">
        <v>47</v>
      </c>
      <c r="E4" s="18" t="s">
        <v>48</v>
      </c>
      <c r="F4" s="18" t="s">
        <v>49</v>
      </c>
      <c r="G4" s="18" t="s">
        <v>50</v>
      </c>
      <c r="H4" s="18" t="s">
        <v>51</v>
      </c>
      <c r="I4" s="18" t="s">
        <v>52</v>
      </c>
      <c r="J4" s="18" t="s">
        <v>53</v>
      </c>
    </row>
    <row r="5" spans="1:10">
      <c r="C5" s="10" t="s">
        <v>54</v>
      </c>
      <c r="D5" s="10" t="s">
        <v>54</v>
      </c>
      <c r="E5" s="10" t="s">
        <v>54</v>
      </c>
      <c r="F5" s="10" t="s">
        <v>55</v>
      </c>
      <c r="G5" s="10" t="s">
        <v>55</v>
      </c>
      <c r="H5" s="10" t="s">
        <v>55</v>
      </c>
      <c r="I5" s="10" t="s">
        <v>55</v>
      </c>
      <c r="J5" s="10" t="s">
        <v>55</v>
      </c>
    </row>
    <row r="7" spans="1:10" ht="17">
      <c r="B7" s="5" t="s">
        <v>93</v>
      </c>
      <c r="C7" s="19">
        <v>380</v>
      </c>
      <c r="D7" s="19">
        <v>500</v>
      </c>
      <c r="E7" s="19">
        <v>620</v>
      </c>
      <c r="F7" s="20">
        <f>CF!F21</f>
        <v>351</v>
      </c>
      <c r="G7" s="20">
        <f>CF!G21</f>
        <v>496</v>
      </c>
      <c r="H7" s="20">
        <f>CF!H21</f>
        <v>687</v>
      </c>
      <c r="I7" s="20">
        <f>CF!I21</f>
        <v>918</v>
      </c>
      <c r="J7" s="20">
        <f>CF!J21</f>
        <v>1190</v>
      </c>
    </row>
    <row r="8" spans="1:10" ht="17">
      <c r="B8" s="5" t="s">
        <v>94</v>
      </c>
      <c r="C8" s="19">
        <v>960</v>
      </c>
      <c r="D8" s="19">
        <v>1048</v>
      </c>
      <c r="E8" s="19">
        <v>1139</v>
      </c>
      <c r="F8" s="20">
        <f>ROUND(PL!F10*45/365,0)</f>
        <v>1183</v>
      </c>
      <c r="G8" s="20">
        <f>ROUND(PL!G10*45/365,0)</f>
        <v>1221</v>
      </c>
      <c r="H8" s="20">
        <f>ROUND(PL!H10*45/365,0)</f>
        <v>1255</v>
      </c>
      <c r="I8" s="20">
        <f>ROUND(PL!I10*45/365,0)</f>
        <v>1289</v>
      </c>
      <c r="J8" s="20">
        <f>ROUND(PL!J10*45/365,0)</f>
        <v>1316</v>
      </c>
    </row>
    <row r="9" spans="1:10" ht="17">
      <c r="B9" s="5" t="s">
        <v>95</v>
      </c>
      <c r="C9" s="19">
        <v>1050</v>
      </c>
      <c r="D9" s="19">
        <v>1140</v>
      </c>
      <c r="E9" s="19">
        <v>1230</v>
      </c>
      <c r="F9" s="20">
        <f>ROUND(PL!F12*118/365,0)</f>
        <v>1272</v>
      </c>
      <c r="G9" s="20">
        <f>ROUND(PL!G12*118/365,0)</f>
        <v>1313</v>
      </c>
      <c r="H9" s="20">
        <f>ROUND(PL!H12*118/365,0)</f>
        <v>1350</v>
      </c>
      <c r="I9" s="20">
        <f>ROUND(PL!I12*118/365,0)</f>
        <v>1386</v>
      </c>
      <c r="J9" s="20">
        <f>ROUND(PL!J12*118/365,0)</f>
        <v>1415</v>
      </c>
    </row>
    <row r="10" spans="1:10" ht="17">
      <c r="B10" s="5" t="s">
        <v>96</v>
      </c>
      <c r="C10" s="19">
        <v>170</v>
      </c>
      <c r="D10" s="19">
        <v>185</v>
      </c>
      <c r="E10" s="19">
        <v>200</v>
      </c>
      <c r="F10" s="11">
        <v>205</v>
      </c>
      <c r="G10" s="11">
        <v>210</v>
      </c>
      <c r="H10" s="11">
        <v>215</v>
      </c>
      <c r="I10" s="11">
        <v>220</v>
      </c>
      <c r="J10" s="11">
        <v>225</v>
      </c>
    </row>
    <row r="11" spans="1:10" ht="17">
      <c r="B11" s="5" t="s">
        <v>97</v>
      </c>
      <c r="C11" s="19">
        <v>640</v>
      </c>
      <c r="D11" s="19">
        <v>660</v>
      </c>
      <c r="E11" s="19">
        <v>680</v>
      </c>
      <c r="F11" s="20">
        <f>E11+inp!F41-PL!F24</f>
        <v>685</v>
      </c>
      <c r="G11" s="20">
        <f>F11+inp!G41-PL!G24</f>
        <v>687</v>
      </c>
      <c r="H11" s="20">
        <f>G11+inp!H41-PL!H24</f>
        <v>686</v>
      </c>
      <c r="I11" s="20">
        <f>H11+inp!I41-PL!I24</f>
        <v>682</v>
      </c>
      <c r="J11" s="20">
        <f>I11+inp!J41-PL!J24</f>
        <v>675</v>
      </c>
    </row>
    <row r="12" spans="1:10" ht="17">
      <c r="B12" s="5" t="s">
        <v>98</v>
      </c>
      <c r="C12" s="19">
        <v>0</v>
      </c>
      <c r="D12" s="19">
        <v>0</v>
      </c>
      <c r="E12" s="19">
        <v>0</v>
      </c>
      <c r="F12" s="11">
        <v>6100</v>
      </c>
      <c r="G12" s="11">
        <v>6100</v>
      </c>
      <c r="H12" s="11">
        <v>6100</v>
      </c>
      <c r="I12" s="11">
        <v>6100</v>
      </c>
      <c r="J12" s="11">
        <v>6100</v>
      </c>
    </row>
    <row r="13" spans="1:10" ht="17">
      <c r="B13" s="5" t="s">
        <v>99</v>
      </c>
      <c r="C13" s="19">
        <v>220</v>
      </c>
      <c r="D13" s="19">
        <v>235</v>
      </c>
      <c r="E13" s="19">
        <v>250</v>
      </c>
      <c r="F13" s="11">
        <v>715</v>
      </c>
      <c r="G13" s="11">
        <v>715</v>
      </c>
      <c r="H13" s="11">
        <v>715</v>
      </c>
      <c r="I13" s="11">
        <v>715</v>
      </c>
      <c r="J13" s="11">
        <v>715</v>
      </c>
    </row>
    <row r="14" spans="1:10" ht="17">
      <c r="B14" s="4" t="s">
        <v>100</v>
      </c>
      <c r="C14" s="28">
        <f t="shared" ref="C14:J14" si="0">SUM(C7:C13)</f>
        <v>3420</v>
      </c>
      <c r="D14" s="28">
        <f t="shared" si="0"/>
        <v>3768</v>
      </c>
      <c r="E14" s="28">
        <f t="shared" si="0"/>
        <v>4119</v>
      </c>
      <c r="F14" s="20">
        <f t="shared" si="0"/>
        <v>10511</v>
      </c>
      <c r="G14" s="20">
        <f t="shared" si="0"/>
        <v>10742</v>
      </c>
      <c r="H14" s="20">
        <f t="shared" si="0"/>
        <v>11008</v>
      </c>
      <c r="I14" s="20">
        <f t="shared" si="0"/>
        <v>11310</v>
      </c>
      <c r="J14" s="20">
        <f t="shared" si="0"/>
        <v>11636</v>
      </c>
    </row>
    <row r="16" spans="1:10" ht="17">
      <c r="B16" s="5" t="s">
        <v>101</v>
      </c>
      <c r="C16" s="19">
        <v>590</v>
      </c>
      <c r="D16" s="19">
        <v>640</v>
      </c>
      <c r="E16" s="19">
        <v>690</v>
      </c>
      <c r="F16" s="11">
        <v>720</v>
      </c>
      <c r="G16" s="11">
        <v>740</v>
      </c>
      <c r="H16" s="11">
        <v>760</v>
      </c>
      <c r="I16" s="11">
        <v>780</v>
      </c>
      <c r="J16" s="11">
        <v>800</v>
      </c>
    </row>
    <row r="17" spans="2:10" ht="17">
      <c r="B17" s="5" t="s">
        <v>102</v>
      </c>
      <c r="C17" s="19">
        <v>180</v>
      </c>
      <c r="D17" s="19">
        <v>198</v>
      </c>
      <c r="E17" s="19">
        <v>179</v>
      </c>
      <c r="F17" s="11">
        <v>190</v>
      </c>
      <c r="G17" s="11">
        <v>190</v>
      </c>
      <c r="H17" s="11">
        <v>190</v>
      </c>
      <c r="I17" s="11">
        <v>190</v>
      </c>
      <c r="J17" s="11">
        <v>190</v>
      </c>
    </row>
    <row r="18" spans="2:10" ht="17">
      <c r="B18" s="5" t="s">
        <v>103</v>
      </c>
      <c r="C18" s="19">
        <v>600</v>
      </c>
      <c r="D18" s="19">
        <v>500</v>
      </c>
      <c r="E18" s="19">
        <v>400</v>
      </c>
      <c r="F18" s="20">
        <f>debt!F9</f>
        <v>4320</v>
      </c>
      <c r="G18" s="20">
        <f>debt!G9</f>
        <v>3840</v>
      </c>
      <c r="H18" s="20">
        <f>debt!H9</f>
        <v>3360</v>
      </c>
      <c r="I18" s="20">
        <f>debt!I9</f>
        <v>2880</v>
      </c>
      <c r="J18" s="20">
        <f>debt!J9</f>
        <v>2400</v>
      </c>
    </row>
    <row r="19" spans="2:10" ht="17">
      <c r="B19" s="5" t="s">
        <v>104</v>
      </c>
      <c r="C19" s="28">
        <f t="shared" ref="C19:J19" si="1">SUM(C16:C18)</f>
        <v>1370</v>
      </c>
      <c r="D19" s="28">
        <f t="shared" si="1"/>
        <v>1338</v>
      </c>
      <c r="E19" s="28">
        <f t="shared" si="1"/>
        <v>1269</v>
      </c>
      <c r="F19" s="20">
        <f t="shared" si="1"/>
        <v>5230</v>
      </c>
      <c r="G19" s="20">
        <f t="shared" si="1"/>
        <v>4770</v>
      </c>
      <c r="H19" s="20">
        <f t="shared" si="1"/>
        <v>4310</v>
      </c>
      <c r="I19" s="20">
        <f t="shared" si="1"/>
        <v>3850</v>
      </c>
      <c r="J19" s="20">
        <f t="shared" si="1"/>
        <v>3390</v>
      </c>
    </row>
    <row r="21" spans="2:10" ht="17">
      <c r="B21" s="4" t="s">
        <v>105</v>
      </c>
      <c r="C21" s="19">
        <v>2050</v>
      </c>
      <c r="D21" s="19">
        <v>2430</v>
      </c>
      <c r="E21" s="19">
        <v>2850</v>
      </c>
      <c r="F21" s="11">
        <v>5281</v>
      </c>
      <c r="G21" s="11">
        <v>5972</v>
      </c>
      <c r="H21" s="11">
        <v>6698</v>
      </c>
      <c r="I21" s="11">
        <v>7460</v>
      </c>
      <c r="J21" s="11">
        <v>8246</v>
      </c>
    </row>
    <row r="22" spans="2:10" ht="17">
      <c r="B22" s="4" t="s">
        <v>106</v>
      </c>
      <c r="C22" s="28">
        <f t="shared" ref="C22:J22" si="2">C19+C21</f>
        <v>3420</v>
      </c>
      <c r="D22" s="28">
        <f t="shared" si="2"/>
        <v>3768</v>
      </c>
      <c r="E22" s="28">
        <f t="shared" si="2"/>
        <v>4119</v>
      </c>
      <c r="F22" s="20">
        <f t="shared" si="2"/>
        <v>10511</v>
      </c>
      <c r="G22" s="20">
        <f t="shared" si="2"/>
        <v>10742</v>
      </c>
      <c r="H22" s="20">
        <f t="shared" si="2"/>
        <v>11008</v>
      </c>
      <c r="I22" s="20">
        <f t="shared" si="2"/>
        <v>11310</v>
      </c>
      <c r="J22" s="20">
        <f t="shared" si="2"/>
        <v>11636</v>
      </c>
    </row>
    <row r="24" spans="2:10">
      <c r="B24" s="29" t="s">
        <v>107</v>
      </c>
    </row>
  </sheetData>
  <phoneticPr fontId="16"/>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24"/>
  <sheetViews>
    <sheetView zoomScaleNormal="100" workbookViewId="0"/>
  </sheetViews>
  <sheetFormatPr baseColWidth="10" defaultColWidth="8.5" defaultRowHeight="15"/>
  <cols>
    <col min="1" max="1" width="3" customWidth="1"/>
    <col min="2" max="2" width="36" customWidth="1"/>
    <col min="3" max="10" width="12" customWidth="1"/>
  </cols>
  <sheetData>
    <row r="1" spans="1:10" ht="22">
      <c r="A1" s="8" t="s">
        <v>108</v>
      </c>
    </row>
    <row r="2" spans="1:10">
      <c r="A2" s="7" t="s">
        <v>69</v>
      </c>
      <c r="H2" s="4" t="s">
        <v>26</v>
      </c>
    </row>
    <row r="4" spans="1:10">
      <c r="C4" s="18" t="s">
        <v>46</v>
      </c>
      <c r="D4" s="18" t="s">
        <v>47</v>
      </c>
      <c r="E4" s="18" t="s">
        <v>48</v>
      </c>
      <c r="F4" s="18" t="s">
        <v>49</v>
      </c>
      <c r="G4" s="18" t="s">
        <v>50</v>
      </c>
      <c r="H4" s="18" t="s">
        <v>51</v>
      </c>
      <c r="I4" s="18" t="s">
        <v>52</v>
      </c>
      <c r="J4" s="18" t="s">
        <v>53</v>
      </c>
    </row>
    <row r="5" spans="1:10">
      <c r="C5" s="10" t="s">
        <v>54</v>
      </c>
      <c r="D5" s="10" t="s">
        <v>54</v>
      </c>
      <c r="E5" s="10" t="s">
        <v>54</v>
      </c>
      <c r="F5" s="10" t="s">
        <v>55</v>
      </c>
      <c r="G5" s="10" t="s">
        <v>55</v>
      </c>
      <c r="H5" s="10" t="s">
        <v>55</v>
      </c>
      <c r="I5" s="10" t="s">
        <v>55</v>
      </c>
      <c r="J5" s="10" t="s">
        <v>55</v>
      </c>
    </row>
    <row r="7" spans="1:10" ht="17">
      <c r="B7" s="5" t="s">
        <v>109</v>
      </c>
      <c r="C7" s="28">
        <f>PL!C32</f>
        <v>425</v>
      </c>
      <c r="D7" s="28">
        <f>PL!D32</f>
        <v>539</v>
      </c>
      <c r="E7" s="28">
        <f>PL!E32</f>
        <v>657</v>
      </c>
      <c r="F7" s="20">
        <f>PL!F32</f>
        <v>646</v>
      </c>
      <c r="G7" s="20">
        <f>PL!G32</f>
        <v>691</v>
      </c>
      <c r="H7" s="20">
        <f>PL!H32</f>
        <v>726</v>
      </c>
      <c r="I7" s="20">
        <f>PL!I32</f>
        <v>762</v>
      </c>
      <c r="J7" s="20">
        <f>PL!J32</f>
        <v>786</v>
      </c>
    </row>
    <row r="8" spans="1:10" ht="17">
      <c r="B8" s="5" t="s">
        <v>84</v>
      </c>
      <c r="C8" s="28">
        <f>PL!C24</f>
        <v>150</v>
      </c>
      <c r="D8" s="28">
        <f>PL!D24</f>
        <v>155</v>
      </c>
      <c r="E8" s="28">
        <f>PL!E24</f>
        <v>160</v>
      </c>
      <c r="F8" s="20">
        <f>PL!F24</f>
        <v>165</v>
      </c>
      <c r="G8" s="20">
        <f>PL!G24</f>
        <v>168</v>
      </c>
      <c r="H8" s="20">
        <f>PL!H24</f>
        <v>171</v>
      </c>
      <c r="I8" s="20">
        <f>PL!I24</f>
        <v>174</v>
      </c>
      <c r="J8" s="20">
        <f>PL!J24</f>
        <v>177</v>
      </c>
    </row>
    <row r="9" spans="1:10" ht="17">
      <c r="B9" s="5" t="s">
        <v>110</v>
      </c>
      <c r="C9" s="19">
        <v>145</v>
      </c>
      <c r="D9" s="19">
        <v>116</v>
      </c>
      <c r="E9" s="19">
        <v>88</v>
      </c>
      <c r="F9" s="11">
        <v>-50</v>
      </c>
      <c r="G9" s="11">
        <v>-64</v>
      </c>
      <c r="H9" s="11">
        <v>-56</v>
      </c>
      <c r="I9" s="11">
        <v>-55</v>
      </c>
      <c r="J9" s="11">
        <v>-41</v>
      </c>
    </row>
    <row r="10" spans="1:10" ht="17">
      <c r="B10" s="5" t="s">
        <v>111</v>
      </c>
      <c r="C10" s="28">
        <f t="shared" ref="C10:J10" si="0">SUM(C7:C9)</f>
        <v>720</v>
      </c>
      <c r="D10" s="28">
        <f t="shared" si="0"/>
        <v>810</v>
      </c>
      <c r="E10" s="28">
        <f t="shared" si="0"/>
        <v>905</v>
      </c>
      <c r="F10" s="20">
        <f t="shared" si="0"/>
        <v>761</v>
      </c>
      <c r="G10" s="20">
        <f t="shared" si="0"/>
        <v>795</v>
      </c>
      <c r="H10" s="20">
        <f t="shared" si="0"/>
        <v>841</v>
      </c>
      <c r="I10" s="20">
        <f t="shared" si="0"/>
        <v>881</v>
      </c>
      <c r="J10" s="20">
        <f t="shared" si="0"/>
        <v>922</v>
      </c>
    </row>
    <row r="12" spans="1:10" ht="17">
      <c r="B12" s="5" t="s">
        <v>112</v>
      </c>
      <c r="C12" s="19">
        <v>-140</v>
      </c>
      <c r="D12" s="19">
        <v>-150</v>
      </c>
      <c r="E12" s="19">
        <v>-160</v>
      </c>
      <c r="F12" s="20">
        <f>-inp!F41</f>
        <v>-170</v>
      </c>
      <c r="G12" s="20">
        <f>-inp!G41</f>
        <v>-170</v>
      </c>
      <c r="H12" s="20">
        <f>-inp!H41</f>
        <v>-170</v>
      </c>
      <c r="I12" s="20">
        <f>-inp!I41</f>
        <v>-170</v>
      </c>
      <c r="J12" s="20">
        <f>-inp!J41</f>
        <v>-170</v>
      </c>
    </row>
    <row r="13" spans="1:10" ht="17">
      <c r="B13" s="5" t="s">
        <v>113</v>
      </c>
      <c r="C13" s="28">
        <f t="shared" ref="C13:J13" si="1">C10+C12</f>
        <v>580</v>
      </c>
      <c r="D13" s="28">
        <f t="shared" si="1"/>
        <v>660</v>
      </c>
      <c r="E13" s="28">
        <f t="shared" si="1"/>
        <v>745</v>
      </c>
      <c r="F13" s="20">
        <f t="shared" si="1"/>
        <v>591</v>
      </c>
      <c r="G13" s="20">
        <f t="shared" si="1"/>
        <v>625</v>
      </c>
      <c r="H13" s="20">
        <f t="shared" si="1"/>
        <v>671</v>
      </c>
      <c r="I13" s="20">
        <f t="shared" si="1"/>
        <v>711</v>
      </c>
      <c r="J13" s="20">
        <f t="shared" si="1"/>
        <v>752</v>
      </c>
    </row>
    <row r="15" spans="1:10" ht="17">
      <c r="B15" s="5" t="s">
        <v>114</v>
      </c>
      <c r="C15" s="19">
        <v>-100</v>
      </c>
      <c r="D15" s="19">
        <v>-100</v>
      </c>
      <c r="E15" s="19">
        <v>-100</v>
      </c>
      <c r="F15" s="20">
        <f>-debt!F8</f>
        <v>-480</v>
      </c>
      <c r="G15" s="20">
        <f>-debt!G8</f>
        <v>-480</v>
      </c>
      <c r="H15" s="20">
        <f>-debt!H8</f>
        <v>-480</v>
      </c>
      <c r="I15" s="20">
        <f>-debt!I8</f>
        <v>-480</v>
      </c>
      <c r="J15" s="20">
        <f>-debt!J8</f>
        <v>-480</v>
      </c>
    </row>
    <row r="16" spans="1:10" ht="17">
      <c r="B16" s="5" t="s">
        <v>115</v>
      </c>
      <c r="C16" s="19">
        <v>-420</v>
      </c>
      <c r="D16" s="19">
        <v>-440</v>
      </c>
      <c r="E16" s="19">
        <v>-525</v>
      </c>
      <c r="F16" s="11">
        <v>0</v>
      </c>
      <c r="G16" s="11">
        <v>0</v>
      </c>
      <c r="H16" s="11">
        <v>0</v>
      </c>
      <c r="I16" s="11">
        <v>0</v>
      </c>
      <c r="J16" s="11">
        <v>0</v>
      </c>
    </row>
    <row r="17" spans="2:10" ht="17">
      <c r="B17" s="5" t="s">
        <v>116</v>
      </c>
      <c r="C17" s="28">
        <f t="shared" ref="C17:J17" si="2">C15+C16</f>
        <v>-520</v>
      </c>
      <c r="D17" s="28">
        <f t="shared" si="2"/>
        <v>-540</v>
      </c>
      <c r="E17" s="28">
        <f t="shared" si="2"/>
        <v>-625</v>
      </c>
      <c r="F17" s="20">
        <f t="shared" si="2"/>
        <v>-480</v>
      </c>
      <c r="G17" s="20">
        <f t="shared" si="2"/>
        <v>-480</v>
      </c>
      <c r="H17" s="20">
        <f t="shared" si="2"/>
        <v>-480</v>
      </c>
      <c r="I17" s="20">
        <f t="shared" si="2"/>
        <v>-480</v>
      </c>
      <c r="J17" s="20">
        <f t="shared" si="2"/>
        <v>-480</v>
      </c>
    </row>
    <row r="19" spans="2:10" ht="17">
      <c r="B19" s="5" t="s">
        <v>117</v>
      </c>
      <c r="C19" s="28">
        <f t="shared" ref="C19:J19" si="3">C13+C17</f>
        <v>60</v>
      </c>
      <c r="D19" s="28">
        <f t="shared" si="3"/>
        <v>120</v>
      </c>
      <c r="E19" s="28">
        <f t="shared" si="3"/>
        <v>120</v>
      </c>
      <c r="F19" s="20">
        <f t="shared" si="3"/>
        <v>111</v>
      </c>
      <c r="G19" s="20">
        <f t="shared" si="3"/>
        <v>145</v>
      </c>
      <c r="H19" s="20">
        <f t="shared" si="3"/>
        <v>191</v>
      </c>
      <c r="I19" s="20">
        <f t="shared" si="3"/>
        <v>231</v>
      </c>
      <c r="J19" s="20">
        <f t="shared" si="3"/>
        <v>272</v>
      </c>
    </row>
    <row r="20" spans="2:10" ht="17">
      <c r="B20" s="5" t="s">
        <v>118</v>
      </c>
      <c r="C20" s="19">
        <v>320</v>
      </c>
      <c r="D20" s="28">
        <f>C21</f>
        <v>380</v>
      </c>
      <c r="E20" s="28">
        <f>D21</f>
        <v>500</v>
      </c>
      <c r="F20" s="11">
        <v>240</v>
      </c>
      <c r="G20" s="20">
        <f>F21</f>
        <v>351</v>
      </c>
      <c r="H20" s="20">
        <f>G21</f>
        <v>496</v>
      </c>
      <c r="I20" s="20">
        <f>H21</f>
        <v>687</v>
      </c>
      <c r="J20" s="20">
        <f>I21</f>
        <v>918</v>
      </c>
    </row>
    <row r="21" spans="2:10" ht="17">
      <c r="B21" s="5" t="s">
        <v>119</v>
      </c>
      <c r="C21" s="28">
        <f t="shared" ref="C21:J21" si="4">C19+C20</f>
        <v>380</v>
      </c>
      <c r="D21" s="28">
        <f t="shared" si="4"/>
        <v>500</v>
      </c>
      <c r="E21" s="28">
        <f t="shared" si="4"/>
        <v>620</v>
      </c>
      <c r="F21" s="20">
        <f t="shared" si="4"/>
        <v>351</v>
      </c>
      <c r="G21" s="20">
        <f t="shared" si="4"/>
        <v>496</v>
      </c>
      <c r="H21" s="20">
        <f t="shared" si="4"/>
        <v>687</v>
      </c>
      <c r="I21" s="20">
        <f t="shared" si="4"/>
        <v>918</v>
      </c>
      <c r="J21" s="20">
        <f t="shared" si="4"/>
        <v>1190</v>
      </c>
    </row>
    <row r="24" spans="2:10">
      <c r="B24" s="29" t="s">
        <v>120</v>
      </c>
    </row>
  </sheetData>
  <phoneticPr fontId="16"/>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4"/>
  <sheetViews>
    <sheetView zoomScaleNormal="100" workbookViewId="0"/>
  </sheetViews>
  <sheetFormatPr baseColWidth="10" defaultColWidth="8.5" defaultRowHeight="15"/>
  <cols>
    <col min="1" max="1" width="3" customWidth="1"/>
    <col min="2" max="2" width="36" customWidth="1"/>
    <col min="3" max="10" width="12" customWidth="1"/>
  </cols>
  <sheetData>
    <row r="1" spans="1:10" ht="22">
      <c r="A1" s="8" t="s">
        <v>121</v>
      </c>
    </row>
    <row r="2" spans="1:10">
      <c r="A2" s="7" t="s">
        <v>69</v>
      </c>
      <c r="H2" s="4" t="s">
        <v>26</v>
      </c>
    </row>
    <row r="4" spans="1:10">
      <c r="C4" s="18" t="s">
        <v>46</v>
      </c>
      <c r="D4" s="18" t="s">
        <v>47</v>
      </c>
      <c r="E4" s="18" t="s">
        <v>48</v>
      </c>
      <c r="F4" s="18" t="s">
        <v>49</v>
      </c>
      <c r="G4" s="18" t="s">
        <v>50</v>
      </c>
      <c r="H4" s="18" t="s">
        <v>51</v>
      </c>
      <c r="I4" s="18" t="s">
        <v>52</v>
      </c>
      <c r="J4" s="18" t="s">
        <v>53</v>
      </c>
    </row>
    <row r="5" spans="1:10">
      <c r="C5" s="10" t="s">
        <v>54</v>
      </c>
      <c r="D5" s="10" t="s">
        <v>54</v>
      </c>
      <c r="E5" s="10" t="s">
        <v>54</v>
      </c>
      <c r="F5" s="10" t="s">
        <v>55</v>
      </c>
      <c r="G5" s="10" t="s">
        <v>55</v>
      </c>
      <c r="H5" s="10" t="s">
        <v>55</v>
      </c>
      <c r="I5" s="10" t="s">
        <v>55</v>
      </c>
      <c r="J5" s="10" t="s">
        <v>55</v>
      </c>
    </row>
    <row r="7" spans="1:10" ht="17">
      <c r="B7" s="5" t="s">
        <v>122</v>
      </c>
      <c r="F7" s="20">
        <f>inp!D11</f>
        <v>4800</v>
      </c>
      <c r="G7" s="20">
        <f>F9</f>
        <v>4320</v>
      </c>
      <c r="H7" s="20">
        <f>G9</f>
        <v>3840</v>
      </c>
      <c r="I7" s="20">
        <f>H9</f>
        <v>3360</v>
      </c>
      <c r="J7" s="20">
        <f>I9</f>
        <v>2880</v>
      </c>
    </row>
    <row r="8" spans="1:10" ht="17">
      <c r="B8" s="5" t="s">
        <v>123</v>
      </c>
      <c r="F8" s="20">
        <f>inp!D19</f>
        <v>480</v>
      </c>
      <c r="G8" s="20">
        <f>inp!D19</f>
        <v>480</v>
      </c>
      <c r="H8" s="20">
        <f>inp!D19</f>
        <v>480</v>
      </c>
      <c r="I8" s="20">
        <f>inp!D19</f>
        <v>480</v>
      </c>
      <c r="J8" s="20">
        <f>inp!D19</f>
        <v>480</v>
      </c>
    </row>
    <row r="9" spans="1:10" ht="17">
      <c r="B9" s="5" t="s">
        <v>124</v>
      </c>
      <c r="F9" s="20">
        <f>F7-F8</f>
        <v>4320</v>
      </c>
      <c r="G9" s="20">
        <f>G7-G8</f>
        <v>3840</v>
      </c>
      <c r="H9" s="20">
        <f>H7-H8</f>
        <v>3360</v>
      </c>
      <c r="I9" s="20">
        <f>I7-I8</f>
        <v>2880</v>
      </c>
      <c r="J9" s="20">
        <f>J7-J8</f>
        <v>2400</v>
      </c>
    </row>
    <row r="10" spans="1:10" ht="17">
      <c r="B10" s="5" t="s">
        <v>125</v>
      </c>
      <c r="F10" s="20">
        <f>(F7+F9)/2</f>
        <v>4560</v>
      </c>
      <c r="G10" s="20">
        <f>(G7+G9)/2</f>
        <v>4080</v>
      </c>
      <c r="H10" s="20">
        <f>(H7+H9)/2</f>
        <v>3600</v>
      </c>
      <c r="I10" s="20">
        <f>(I7+I9)/2</f>
        <v>3120</v>
      </c>
      <c r="J10" s="20">
        <f>(J7+J9)/2</f>
        <v>2640</v>
      </c>
    </row>
    <row r="11" spans="1:10" ht="17">
      <c r="B11" s="5" t="s">
        <v>38</v>
      </c>
      <c r="F11" s="27">
        <f>inp!D18</f>
        <v>2.3E-2</v>
      </c>
      <c r="G11" s="27">
        <f>inp!D18</f>
        <v>2.3E-2</v>
      </c>
      <c r="H11" s="27">
        <f>inp!D18</f>
        <v>2.3E-2</v>
      </c>
      <c r="I11" s="27">
        <f>inp!D18</f>
        <v>2.3E-2</v>
      </c>
      <c r="J11" s="27">
        <f>inp!D18</f>
        <v>2.3E-2</v>
      </c>
    </row>
    <row r="12" spans="1:10" ht="17">
      <c r="B12" s="5" t="s">
        <v>87</v>
      </c>
      <c r="F12" s="20">
        <f>ROUND(F10*F11,0)</f>
        <v>105</v>
      </c>
      <c r="G12" s="20">
        <f>ROUND(G10*G11,0)</f>
        <v>94</v>
      </c>
      <c r="H12" s="20">
        <f>ROUND(H10*H11,0)</f>
        <v>83</v>
      </c>
      <c r="I12" s="20">
        <f>ROUND(I10*I11,0)</f>
        <v>72</v>
      </c>
      <c r="J12" s="20">
        <f>ROUND(J10*J11,0)</f>
        <v>61</v>
      </c>
    </row>
    <row r="14" spans="1:10">
      <c r="B14" s="7" t="s">
        <v>126</v>
      </c>
    </row>
  </sheetData>
  <phoneticPr fontId="16"/>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6"/>
  <sheetViews>
    <sheetView zoomScaleNormal="100" workbookViewId="0"/>
  </sheetViews>
  <sheetFormatPr baseColWidth="10" defaultColWidth="8.5" defaultRowHeight="15"/>
  <cols>
    <col min="2" max="2" width="80" customWidth="1"/>
  </cols>
  <sheetData>
    <row r="1" spans="1:2">
      <c r="A1" s="7" t="s">
        <v>127</v>
      </c>
    </row>
    <row r="3" spans="1:2" ht="17">
      <c r="B3" s="6" t="s">
        <v>128</v>
      </c>
    </row>
    <row r="4" spans="1:2" ht="17">
      <c r="B4" s="6" t="s">
        <v>129</v>
      </c>
    </row>
    <row r="5" spans="1:2" ht="17">
      <c r="B5" s="5" t="s">
        <v>130</v>
      </c>
    </row>
    <row r="6" spans="1:2">
      <c r="B6" s="5" t="s">
        <v>131</v>
      </c>
    </row>
  </sheetData>
  <phoneticPr fontId="16"/>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ワークシート</vt:lpstr>
      </vt:variant>
      <vt:variant>
        <vt:i4>7</vt:i4>
      </vt:variant>
    </vt:vector>
  </HeadingPairs>
  <TitlesOfParts>
    <vt:vector size="7" baseType="lpstr">
      <vt:lpstr>Cover</vt:lpstr>
      <vt:lpstr>inp</vt:lpstr>
      <vt:lpstr>PL</vt:lpstr>
      <vt:lpstr>BS</vt:lpstr>
      <vt:lpstr>CF</vt:lpstr>
      <vt:lpstr>debt</vt:lpstr>
      <vt:lpstr>memo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久保 貴裕</cp:lastModifiedBy>
  <cp:revision>0</cp:revision>
  <dcterms:created xsi:type="dcterms:W3CDTF">2026-07-17T02:42:47Z</dcterms:created>
  <dcterms:modified xsi:type="dcterms:W3CDTF">2026-07-17T06:32:08Z</dcterms:modified>
  <dc:language>en-US</dc:language>
</cp:coreProperties>
</file>