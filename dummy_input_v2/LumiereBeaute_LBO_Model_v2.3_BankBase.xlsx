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Cover" sheetId="1" state="visible" r:id="rId3"/>
    <sheet name="inp" sheetId="2" state="visible" r:id="rId4"/>
    <sheet name="PL" sheetId="3" state="visible" r:id="rId5"/>
    <sheet name="BS" sheetId="4" state="visible" r:id="rId6"/>
    <sheet name="CF" sheetId="5" state="visible" r:id="rId7"/>
    <sheet name="debt" sheetId="6" state="visible" r:id="rId8"/>
    <sheet name="memo"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<sst xmlns="http://schemas.openxmlformats.org/spreadsheetml/2006/main" count="213" uniqueCount="132">
  <si>
    <t xml:space="preserve">Project Bloom</t>
  </si>
  <si>
    <r>
      <rPr>
        <b val="true"/>
        <sz val="16"/>
        <rFont val="WenQuanYi Zen Hei"/>
        <family val="2"/>
      </rPr>
      <t xml:space="preserve">株式会社ルミエールボーテ　</t>
    </r>
    <r>
      <rPr>
        <b val="true"/>
        <sz val="16"/>
        <rFont val="Yu Gothic"/>
        <family val="0"/>
        <charset val="1"/>
      </rPr>
      <t xml:space="preserve">LBO</t>
    </r>
    <r>
      <rPr>
        <b val="true"/>
        <sz val="16"/>
        <rFont val="WenQuanYi Zen Hei"/>
        <family val="2"/>
      </rPr>
      <t xml:space="preserve">ファイナンシャルモデル</t>
    </r>
  </si>
  <si>
    <r>
      <rPr>
        <b val="true"/>
        <sz val="12"/>
        <rFont val="WenQuanYi Zen Hei"/>
        <family val="2"/>
      </rPr>
      <t xml:space="preserve">ケース：</t>
    </r>
    <r>
      <rPr>
        <b val="true"/>
        <sz val="12"/>
        <rFont val="Yu Gothic"/>
        <family val="0"/>
        <charset val="1"/>
      </rPr>
      <t xml:space="preserve">Bank Base Case</t>
    </r>
    <r>
      <rPr>
        <b val="true"/>
        <sz val="12"/>
        <rFont val="WenQuanYi Zen Hei"/>
        <family val="2"/>
      </rPr>
      <t xml:space="preserve">（ベースケース（銀行調整））</t>
    </r>
  </si>
  <si>
    <t xml:space="preserve">会社名</t>
  </si>
  <si>
    <t xml:space="preserve">株式会社ルミエールボーテ</t>
  </si>
  <si>
    <t xml:space="preserve">事業内容</t>
  </si>
  <si>
    <r>
      <rPr>
        <sz val="10"/>
        <rFont val="WenQuanYi Zen Hei"/>
        <family val="2"/>
      </rPr>
      <t xml:space="preserve">化粧品・スキンケアの企画販売（</t>
    </r>
    <r>
      <rPr>
        <sz val="10"/>
        <rFont val="Yu Gothic"/>
        <family val="0"/>
        <charset val="1"/>
      </rPr>
      <t xml:space="preserve">D2C</t>
    </r>
    <r>
      <rPr>
        <sz val="10"/>
        <rFont val="WenQuanYi Zen Hei"/>
        <family val="2"/>
      </rPr>
      <t xml:space="preserve">・卸）</t>
    </r>
  </si>
  <si>
    <r>
      <rPr>
        <b val="true"/>
        <sz val="10"/>
        <rFont val="WenQuanYi Zen Hei"/>
        <family val="2"/>
      </rPr>
      <t xml:space="preserve">借入人（</t>
    </r>
    <r>
      <rPr>
        <b val="true"/>
        <sz val="10"/>
        <rFont val="Yu Gothic"/>
        <family val="0"/>
        <charset val="1"/>
      </rPr>
      <t xml:space="preserve">SPC</t>
    </r>
    <r>
      <rPr>
        <b val="true"/>
        <sz val="10"/>
        <rFont val="WenQuanYi Zen Hei"/>
        <family val="2"/>
      </rPr>
      <t xml:space="preserve">）</t>
    </r>
  </si>
  <si>
    <t xml:space="preserve">株式会社ブルームホールディングス（本件買収のための特別目的会社）</t>
  </si>
  <si>
    <t xml:space="preserve">スポンサー</t>
  </si>
  <si>
    <t xml:space="preserve">大手町プリンシパルパートナーズ株式会社</t>
  </si>
  <si>
    <t xml:space="preserve">直近決算期</t>
  </si>
  <si>
    <r>
      <rPr>
        <sz val="10"/>
        <rFont val="Yu Gothic"/>
        <family val="0"/>
        <charset val="1"/>
      </rPr>
      <t xml:space="preserve">2026</t>
    </r>
    <r>
      <rPr>
        <sz val="10"/>
        <rFont val="WenQuanYi Zen Hei"/>
        <family val="2"/>
      </rPr>
      <t xml:space="preserve">年</t>
    </r>
    <r>
      <rPr>
        <sz val="10"/>
        <rFont val="Yu Gothic"/>
        <family val="0"/>
        <charset val="1"/>
      </rPr>
      <t xml:space="preserve">3</t>
    </r>
    <r>
      <rPr>
        <sz val="10"/>
        <rFont val="WenQuanYi Zen Hei"/>
        <family val="2"/>
      </rPr>
      <t xml:space="preserve">月期（</t>
    </r>
    <r>
      <rPr>
        <sz val="10"/>
        <rFont val="Yu Gothic"/>
        <family val="0"/>
        <charset val="1"/>
      </rPr>
      <t xml:space="preserve">2026/3</t>
    </r>
    <r>
      <rPr>
        <sz val="10"/>
        <rFont val="WenQuanYi Zen Hei"/>
        <family val="2"/>
      </rPr>
      <t xml:space="preserve">期）</t>
    </r>
  </si>
  <si>
    <t xml:space="preserve">クローズ予定日</t>
  </si>
  <si>
    <r>
      <rPr>
        <sz val="10"/>
        <rFont val="Yu Gothic"/>
        <family val="0"/>
        <charset val="1"/>
      </rPr>
      <t xml:space="preserve">2026</t>
    </r>
    <r>
      <rPr>
        <sz val="10"/>
        <rFont val="WenQuanYi Zen Hei"/>
        <family val="2"/>
      </rPr>
      <t xml:space="preserve">年</t>
    </r>
    <r>
      <rPr>
        <sz val="10"/>
        <rFont val="Yu Gothic"/>
        <family val="0"/>
        <charset val="1"/>
      </rPr>
      <t xml:space="preserve">11</t>
    </r>
    <r>
      <rPr>
        <sz val="10"/>
        <rFont val="WenQuanYi Zen Hei"/>
        <family val="2"/>
      </rPr>
      <t xml:space="preserve">月</t>
    </r>
    <r>
      <rPr>
        <sz val="10"/>
        <rFont val="Yu Gothic"/>
        <family val="0"/>
        <charset val="1"/>
      </rPr>
      <t xml:space="preserve">30</t>
    </r>
    <r>
      <rPr>
        <sz val="10"/>
        <rFont val="WenQuanYi Zen Hei"/>
        <family val="2"/>
      </rPr>
      <t xml:space="preserve">日</t>
    </r>
  </si>
  <si>
    <t xml:space="preserve">通貨・単位</t>
  </si>
  <si>
    <r>
      <rPr>
        <sz val="10"/>
        <rFont val="Yu Gothic"/>
        <family val="0"/>
        <charset val="1"/>
      </rPr>
      <t xml:space="preserve">JPY</t>
    </r>
    <r>
      <rPr>
        <sz val="10"/>
        <rFont val="WenQuanYi Zen Hei"/>
        <family val="2"/>
      </rPr>
      <t xml:space="preserve">・百万円（</t>
    </r>
    <r>
      <rPr>
        <sz val="10"/>
        <rFont val="Yu Gothic"/>
        <family val="0"/>
        <charset val="1"/>
      </rPr>
      <t xml:space="preserve">million</t>
    </r>
    <r>
      <rPr>
        <sz val="10"/>
        <rFont val="WenQuanYi Zen Hei"/>
        <family val="2"/>
      </rPr>
      <t xml:space="preserve">）</t>
    </r>
  </si>
  <si>
    <t xml:space="preserve">作成</t>
  </si>
  <si>
    <t xml:space="preserve">大手町プリンシパルパートナーズ株式会社　投資チーム</t>
  </si>
  <si>
    <t xml:space="preserve">作成日</t>
  </si>
  <si>
    <r>
      <rPr>
        <sz val="10"/>
        <rFont val="Yu Gothic"/>
        <family val="0"/>
        <charset val="1"/>
      </rPr>
      <t xml:space="preserve">2026</t>
    </r>
    <r>
      <rPr>
        <sz val="10"/>
        <rFont val="WenQuanYi Zen Hei"/>
        <family val="2"/>
      </rPr>
      <t xml:space="preserve">年</t>
    </r>
    <r>
      <rPr>
        <sz val="10"/>
        <rFont val="Yu Gothic"/>
        <family val="0"/>
        <charset val="1"/>
      </rPr>
      <t xml:space="preserve">6</t>
    </r>
    <r>
      <rPr>
        <sz val="10"/>
        <rFont val="WenQuanYi Zen Hei"/>
        <family val="2"/>
      </rPr>
      <t xml:space="preserve">月</t>
    </r>
    <r>
      <rPr>
        <sz val="10"/>
        <rFont val="Yu Gothic"/>
        <family val="0"/>
        <charset val="1"/>
      </rPr>
      <t xml:space="preserve">20</t>
    </r>
    <r>
      <rPr>
        <sz val="10"/>
        <rFont val="WenQuanYi Zen Hei"/>
        <family val="2"/>
      </rPr>
      <t xml:space="preserve">日（</t>
    </r>
    <r>
      <rPr>
        <sz val="10"/>
        <rFont val="Yu Gothic"/>
        <family val="0"/>
        <charset val="1"/>
      </rPr>
      <t xml:space="preserve">Ver. 2.3</t>
    </r>
    <r>
      <rPr>
        <sz val="10"/>
        <rFont val="WenQuanYi Zen Hei"/>
        <family val="2"/>
      </rPr>
      <t xml:space="preserve">）</t>
    </r>
  </si>
  <si>
    <t xml:space="preserve">【取扱厳重注意】</t>
  </si>
  <si>
    <t xml:space="preserve">本資料は貴行における本件検討のためにのみ作成されたものであり、作成者の事前の書面による同意なく第三者への開示・複製を禁じます。</t>
  </si>
  <si>
    <t xml:space="preserve">本資料に含まれる将来予測は多くの前提・仮定に基づくものであり、その実現性を保証するものではありません。</t>
  </si>
  <si>
    <r>
      <rPr>
        <b val="true"/>
        <sz val="14"/>
        <color rgb="FF1A4F8B"/>
        <rFont val="WenQuanYi Zen Hei"/>
        <family val="2"/>
      </rPr>
      <t xml:space="preserve">前提条件・</t>
    </r>
    <r>
      <rPr>
        <b val="true"/>
        <sz val="14"/>
        <color rgb="FF1A4F8B"/>
        <rFont val="Yu Gothic"/>
        <family val="0"/>
        <charset val="1"/>
      </rPr>
      <t xml:space="preserve">KPI</t>
    </r>
    <r>
      <rPr>
        <b val="true"/>
        <sz val="14"/>
        <color rgb="FF1A4F8B"/>
        <rFont val="WenQuanYi Zen Hei"/>
        <family val="2"/>
      </rPr>
      <t xml:space="preserve">ドライバー（</t>
    </r>
    <r>
      <rPr>
        <b val="true"/>
        <sz val="14"/>
        <color rgb="FF1A4F8B"/>
        <rFont val="Yu Gothic"/>
        <family val="0"/>
        <charset val="1"/>
      </rPr>
      <t xml:space="preserve">inp</t>
    </r>
    <r>
      <rPr>
        <b val="true"/>
        <sz val="14"/>
        <color rgb="FF1A4F8B"/>
        <rFont val="WenQuanYi Zen Hei"/>
        <family val="2"/>
      </rPr>
      <t xml:space="preserve">）</t>
    </r>
  </si>
  <si>
    <t xml:space="preserve">（単位：百万円。人数・円・％は行ラベルに明記）</t>
  </si>
  <si>
    <r>
      <rPr>
        <b val="true"/>
        <sz val="10"/>
        <rFont val="WenQuanYi Zen Hei"/>
        <family val="2"/>
      </rPr>
      <t xml:space="preserve">ケース</t>
    </r>
    <r>
      <rPr>
        <b val="true"/>
        <sz val="10"/>
        <rFont val="Yu Gothic"/>
        <family val="0"/>
        <charset val="1"/>
      </rPr>
      <t xml:space="preserve">: Bank Base Case</t>
    </r>
  </si>
  <si>
    <r>
      <rPr>
        <b val="true"/>
        <sz val="10"/>
        <rFont val="WenQuanYi Zen Hei"/>
        <family val="2"/>
      </rPr>
      <t xml:space="preserve">ストラクチャー（</t>
    </r>
    <r>
      <rPr>
        <b val="true"/>
        <sz val="10"/>
        <rFont val="Yu Gothic"/>
        <family val="0"/>
        <charset val="1"/>
      </rPr>
      <t xml:space="preserve">Sources &amp; Uses</t>
    </r>
    <r>
      <rPr>
        <b val="true"/>
        <sz val="10"/>
        <rFont val="WenQuanYi Zen Hei"/>
        <family val="2"/>
      </rPr>
      <t xml:space="preserve">・のれん）</t>
    </r>
  </si>
  <si>
    <r>
      <rPr>
        <sz val="10"/>
        <rFont val="WenQuanYi Zen Hei"/>
        <family val="2"/>
      </rPr>
      <t xml:space="preserve">エンタープライズ・バリュー（</t>
    </r>
    <r>
      <rPr>
        <sz val="10"/>
        <rFont val="Yu Gothic"/>
        <family val="0"/>
        <charset val="1"/>
      </rPr>
      <t xml:space="preserve">EV</t>
    </r>
    <r>
      <rPr>
        <sz val="10"/>
        <rFont val="WenQuanYi Zen Hei"/>
        <family val="2"/>
      </rPr>
      <t xml:space="preserve">）</t>
    </r>
  </si>
  <si>
    <r>
      <rPr>
        <sz val="10"/>
        <rFont val="Yu Gothic"/>
        <family val="0"/>
        <charset val="1"/>
      </rPr>
      <t xml:space="preserve">EV/EBITDA</t>
    </r>
    <r>
      <rPr>
        <sz val="10"/>
        <rFont val="WenQuanYi Zen Hei"/>
        <family val="2"/>
      </rPr>
      <t xml:space="preserve">倍率（</t>
    </r>
    <r>
      <rPr>
        <sz val="10"/>
        <rFont val="Yu Gothic"/>
        <family val="0"/>
        <charset val="1"/>
      </rPr>
      <t xml:space="preserve">2026/3</t>
    </r>
    <r>
      <rPr>
        <sz val="10"/>
        <rFont val="WenQuanYi Zen Hei"/>
        <family val="2"/>
      </rPr>
      <t xml:space="preserve">期実績対比）</t>
    </r>
  </si>
  <si>
    <t xml:space="preserve">株式対価（想定）</t>
  </si>
  <si>
    <r>
      <rPr>
        <sz val="10"/>
        <rFont val="WenQuanYi Zen Hei"/>
        <family val="2"/>
      </rPr>
      <t xml:space="preserve">シニアタームローン</t>
    </r>
    <r>
      <rPr>
        <sz val="10"/>
        <rFont val="Yu Gothic"/>
        <family val="0"/>
        <charset val="1"/>
      </rPr>
      <t xml:space="preserve">A</t>
    </r>
  </si>
  <si>
    <t xml:space="preserve">スポンサーエクイティ</t>
  </si>
  <si>
    <t xml:space="preserve">既存借入リファイナンス</t>
  </si>
  <si>
    <t xml:space="preserve">アドバイザリー・取引費用等</t>
  </si>
  <si>
    <t xml:space="preserve">対象会社手元現金の活用</t>
  </si>
  <si>
    <r>
      <rPr>
        <sz val="10"/>
        <rFont val="WenQuanYi Zen Hei"/>
        <family val="2"/>
      </rPr>
      <t xml:space="preserve">のれん想定額（暫定</t>
    </r>
    <r>
      <rPr>
        <sz val="10"/>
        <rFont val="Yu Gothic"/>
        <family val="0"/>
        <charset val="1"/>
      </rPr>
      <t xml:space="preserve">PPA</t>
    </r>
    <r>
      <rPr>
        <sz val="10"/>
        <rFont val="WenQuanYi Zen Hei"/>
        <family val="2"/>
      </rPr>
      <t xml:space="preserve">前）</t>
    </r>
  </si>
  <si>
    <t xml:space="preserve">ローン期間（年）</t>
  </si>
  <si>
    <r>
      <rPr>
        <sz val="10"/>
        <rFont val="WenQuanYi Zen Hei"/>
        <family val="2"/>
      </rPr>
      <t xml:space="preserve">適用金利（</t>
    </r>
    <r>
      <rPr>
        <sz val="10"/>
        <rFont val="Yu Gothic"/>
        <family val="0"/>
        <charset val="1"/>
      </rPr>
      <t xml:space="preserve">TIBOR+230bp</t>
    </r>
    <r>
      <rPr>
        <sz val="10"/>
        <rFont val="WenQuanYi Zen Hei"/>
        <family val="2"/>
      </rPr>
      <t xml:space="preserve">想定）</t>
    </r>
  </si>
  <si>
    <t xml:space="preserve">約定弁済（年・最終回残額一括）</t>
  </si>
  <si>
    <r>
      <rPr>
        <sz val="10"/>
        <rFont val="WenQuanYi Zen Hei"/>
        <family val="2"/>
      </rPr>
      <t xml:space="preserve">スポンサー提示</t>
    </r>
    <r>
      <rPr>
        <sz val="10"/>
        <rFont val="Yu Gothic"/>
        <family val="0"/>
        <charset val="1"/>
      </rPr>
      <t xml:space="preserve">EBITDA</t>
    </r>
    <r>
      <rPr>
        <sz val="10"/>
        <rFont val="WenQuanYi Zen Hei"/>
        <family val="2"/>
      </rPr>
      <t xml:space="preserve">（</t>
    </r>
    <r>
      <rPr>
        <sz val="10"/>
        <rFont val="Yu Gothic"/>
        <family val="0"/>
        <charset val="1"/>
      </rPr>
      <t xml:space="preserve">2026/3</t>
    </r>
    <r>
      <rPr>
        <sz val="10"/>
        <rFont val="WenQuanYi Zen Hei"/>
        <family val="2"/>
      </rPr>
      <t xml:space="preserve">期実績・速報）</t>
    </r>
  </si>
  <si>
    <r>
      <rPr>
        <sz val="10"/>
        <color rgb="FF0000C0"/>
        <rFont val="Yu Gothic"/>
        <family val="0"/>
        <charset val="1"/>
      </rPr>
      <t xml:space="preserve">2026</t>
    </r>
    <r>
      <rPr>
        <sz val="10"/>
        <color rgb="FF0000C0"/>
        <rFont val="WenQuanYi Zen Hei"/>
        <family val="2"/>
      </rPr>
      <t xml:space="preserve">年</t>
    </r>
    <r>
      <rPr>
        <sz val="10"/>
        <color rgb="FF0000C0"/>
        <rFont val="Yu Gothic"/>
        <family val="0"/>
        <charset val="1"/>
      </rPr>
      <t xml:space="preserve">11</t>
    </r>
    <r>
      <rPr>
        <sz val="10"/>
        <color rgb="FF0000C0"/>
        <rFont val="WenQuanYi Zen Hei"/>
        <family val="2"/>
      </rPr>
      <t xml:space="preserve">月</t>
    </r>
    <r>
      <rPr>
        <sz val="10"/>
        <color rgb="FF0000C0"/>
        <rFont val="Yu Gothic"/>
        <family val="0"/>
        <charset val="1"/>
      </rPr>
      <t xml:space="preserve">30</t>
    </r>
    <r>
      <rPr>
        <sz val="10"/>
        <color rgb="FF0000C0"/>
        <rFont val="WenQuanYi Zen Hei"/>
        <family val="2"/>
      </rPr>
      <t xml:space="preserve">日</t>
    </r>
  </si>
  <si>
    <r>
      <rPr>
        <sz val="10"/>
        <rFont val="WenQuanYi Zen Hei"/>
        <family val="2"/>
      </rPr>
      <t xml:space="preserve">借入人（</t>
    </r>
    <r>
      <rPr>
        <sz val="10"/>
        <rFont val="Yu Gothic"/>
        <family val="0"/>
        <charset val="1"/>
      </rPr>
      <t xml:space="preserve">SPC</t>
    </r>
    <r>
      <rPr>
        <sz val="10"/>
        <rFont val="WenQuanYi Zen Hei"/>
        <family val="2"/>
      </rPr>
      <t xml:space="preserve">）</t>
    </r>
  </si>
  <si>
    <t xml:space="preserve">株式会社ブルームホールディングス</t>
  </si>
  <si>
    <r>
      <rPr>
        <sz val="9"/>
        <color rgb="FF737781"/>
        <rFont val="WenQuanYi Zen Hei"/>
        <family val="2"/>
      </rPr>
      <t xml:space="preserve">※ のれん想定額 </t>
    </r>
    <r>
      <rPr>
        <sz val="9"/>
        <color rgb="FF737781"/>
        <rFont val="Yu Gothic"/>
        <family val="0"/>
        <charset val="1"/>
      </rPr>
      <t xml:space="preserve">= </t>
    </r>
    <r>
      <rPr>
        <sz val="9"/>
        <color rgb="FF737781"/>
        <rFont val="WenQuanYi Zen Hei"/>
        <family val="2"/>
      </rPr>
      <t xml:space="preserve">株式対価</t>
    </r>
    <r>
      <rPr>
        <sz val="9"/>
        <color rgb="FF737781"/>
        <rFont val="Yu Gothic"/>
        <family val="0"/>
        <charset val="1"/>
      </rPr>
      <t xml:space="preserve">9,220 − </t>
    </r>
    <r>
      <rPr>
        <sz val="9"/>
        <color rgb="FF737781"/>
        <rFont val="WenQuanYi Zen Hei"/>
        <family val="2"/>
      </rPr>
      <t xml:space="preserve">時価純資産</t>
    </r>
    <r>
      <rPr>
        <sz val="9"/>
        <color rgb="FF737781"/>
        <rFont val="Yu Gothic"/>
        <family val="0"/>
        <charset val="1"/>
      </rPr>
      <t xml:space="preserve">2,655 − </t>
    </r>
    <r>
      <rPr>
        <sz val="9"/>
        <color rgb="FF737781"/>
        <rFont val="WenQuanYi Zen Hei"/>
        <family val="2"/>
      </rPr>
      <t xml:space="preserve">識別無形資産</t>
    </r>
    <r>
      <rPr>
        <sz val="9"/>
        <color rgb="FF737781"/>
        <rFont val="Yu Gothic"/>
        <family val="0"/>
        <charset val="1"/>
      </rPr>
      <t xml:space="preserve">465</t>
    </r>
    <r>
      <rPr>
        <sz val="9"/>
        <color rgb="FF737781"/>
        <rFont val="WenQuanYi Zen Hei"/>
        <family val="2"/>
      </rPr>
      <t xml:space="preserve">（暫定</t>
    </r>
    <r>
      <rPr>
        <sz val="9"/>
        <color rgb="FF737781"/>
        <rFont val="Yu Gothic"/>
        <family val="0"/>
        <charset val="1"/>
      </rPr>
      <t xml:space="preserve">PPA</t>
    </r>
    <r>
      <rPr>
        <sz val="9"/>
        <color rgb="FF737781"/>
        <rFont val="WenQuanYi Zen Hei"/>
        <family val="2"/>
      </rPr>
      <t xml:space="preserve">前・財務</t>
    </r>
    <r>
      <rPr>
        <sz val="9"/>
        <color rgb="FF737781"/>
        <rFont val="Yu Gothic"/>
        <family val="0"/>
        <charset val="1"/>
      </rPr>
      <t xml:space="preserve">DD</t>
    </r>
    <r>
      <rPr>
        <sz val="9"/>
        <color rgb="FF737781"/>
        <rFont val="WenQuanYi Zen Hei"/>
        <family val="2"/>
      </rPr>
      <t xml:space="preserve">の時価純資産評価に基づく）</t>
    </r>
  </si>
  <si>
    <r>
      <rPr>
        <b val="true"/>
        <sz val="10"/>
        <rFont val="Yu Gothic"/>
        <family val="0"/>
        <charset val="1"/>
      </rPr>
      <t xml:space="preserve">KPI</t>
    </r>
    <r>
      <rPr>
        <b val="true"/>
        <sz val="10"/>
        <rFont val="WenQuanYi Zen Hei"/>
        <family val="2"/>
      </rPr>
      <t xml:space="preserve">ドライバー（</t>
    </r>
    <r>
      <rPr>
        <b val="true"/>
        <sz val="10"/>
        <rFont val="Yu Gothic"/>
        <family val="0"/>
        <charset val="1"/>
      </rPr>
      <t xml:space="preserve">Operating Assumptions</t>
    </r>
    <r>
      <rPr>
        <b val="true"/>
        <sz val="10"/>
        <rFont val="WenQuanYi Zen Hei"/>
        <family val="2"/>
      </rPr>
      <t xml:space="preserve">）</t>
    </r>
  </si>
  <si>
    <r>
      <rPr>
        <b val="true"/>
        <sz val="10"/>
        <rFont val="Yu Gothic"/>
        <family val="0"/>
        <charset val="1"/>
      </rPr>
      <t xml:space="preserve">2024/3</t>
    </r>
    <r>
      <rPr>
        <b val="true"/>
        <sz val="10"/>
        <rFont val="WenQuanYi Zen Hei"/>
        <family val="2"/>
      </rPr>
      <t xml:space="preserve">期</t>
    </r>
  </si>
  <si>
    <r>
      <rPr>
        <b val="true"/>
        <sz val="10"/>
        <rFont val="Yu Gothic"/>
        <family val="0"/>
        <charset val="1"/>
      </rPr>
      <t xml:space="preserve">2025/3</t>
    </r>
    <r>
      <rPr>
        <b val="true"/>
        <sz val="10"/>
        <rFont val="WenQuanYi Zen Hei"/>
        <family val="2"/>
      </rPr>
      <t xml:space="preserve">期</t>
    </r>
  </si>
  <si>
    <r>
      <rPr>
        <b val="true"/>
        <sz val="10"/>
        <rFont val="Yu Gothic"/>
        <family val="0"/>
        <charset val="1"/>
      </rPr>
      <t xml:space="preserve">2026/3</t>
    </r>
    <r>
      <rPr>
        <b val="true"/>
        <sz val="10"/>
        <rFont val="WenQuanYi Zen Hei"/>
        <family val="2"/>
      </rPr>
      <t xml:space="preserve">期</t>
    </r>
  </si>
  <si>
    <r>
      <rPr>
        <b val="true"/>
        <sz val="10"/>
        <rFont val="Yu Gothic"/>
        <family val="0"/>
        <charset val="1"/>
      </rPr>
      <t xml:space="preserve">2027/3</t>
    </r>
    <r>
      <rPr>
        <b val="true"/>
        <sz val="10"/>
        <rFont val="WenQuanYi Zen Hei"/>
        <family val="2"/>
      </rPr>
      <t xml:space="preserve">期</t>
    </r>
  </si>
  <si>
    <r>
      <rPr>
        <b val="true"/>
        <sz val="10"/>
        <rFont val="Yu Gothic"/>
        <family val="0"/>
        <charset val="1"/>
      </rPr>
      <t xml:space="preserve">2028/3</t>
    </r>
    <r>
      <rPr>
        <b val="true"/>
        <sz val="10"/>
        <rFont val="WenQuanYi Zen Hei"/>
        <family val="2"/>
      </rPr>
      <t xml:space="preserve">期</t>
    </r>
  </si>
  <si>
    <r>
      <rPr>
        <b val="true"/>
        <sz val="10"/>
        <rFont val="Yu Gothic"/>
        <family val="0"/>
        <charset val="1"/>
      </rPr>
      <t xml:space="preserve">2029/3</t>
    </r>
    <r>
      <rPr>
        <b val="true"/>
        <sz val="10"/>
        <rFont val="WenQuanYi Zen Hei"/>
        <family val="2"/>
      </rPr>
      <t xml:space="preserve">期</t>
    </r>
  </si>
  <si>
    <r>
      <rPr>
        <b val="true"/>
        <sz val="10"/>
        <rFont val="Yu Gothic"/>
        <family val="0"/>
        <charset val="1"/>
      </rPr>
      <t xml:space="preserve">2030/3</t>
    </r>
    <r>
      <rPr>
        <b val="true"/>
        <sz val="10"/>
        <rFont val="WenQuanYi Zen Hei"/>
        <family val="2"/>
      </rPr>
      <t xml:space="preserve">期</t>
    </r>
  </si>
  <si>
    <r>
      <rPr>
        <b val="true"/>
        <sz val="10"/>
        <rFont val="Yu Gothic"/>
        <family val="0"/>
        <charset val="1"/>
      </rPr>
      <t xml:space="preserve">2031/3</t>
    </r>
    <r>
      <rPr>
        <b val="true"/>
        <sz val="10"/>
        <rFont val="WenQuanYi Zen Hei"/>
        <family val="2"/>
      </rPr>
      <t xml:space="preserve">期</t>
    </r>
  </si>
  <si>
    <r>
      <rPr>
        <sz val="9"/>
        <color rgb="FF737781"/>
        <rFont val="Yu Gothic"/>
        <family val="0"/>
        <charset val="1"/>
      </rPr>
      <t xml:space="preserve">A</t>
    </r>
    <r>
      <rPr>
        <sz val="9"/>
        <color rgb="FF737781"/>
        <rFont val="WenQuanYi Zen Hei"/>
        <family val="2"/>
      </rPr>
      <t xml:space="preserve">（実績）</t>
    </r>
  </si>
  <si>
    <r>
      <rPr>
        <sz val="9"/>
        <color rgb="FF737781"/>
        <rFont val="Yu Gothic"/>
        <family val="0"/>
        <charset val="1"/>
      </rPr>
      <t xml:space="preserve">P</t>
    </r>
    <r>
      <rPr>
        <sz val="9"/>
        <color rgb="FF737781"/>
        <rFont val="WenQuanYi Zen Hei"/>
        <family val="2"/>
      </rPr>
      <t xml:space="preserve">（計画）</t>
    </r>
  </si>
  <si>
    <t xml:space="preserve">アクティブ会員数（人）</t>
  </si>
  <si>
    <t xml:space="preserve">リピート率（既存会員残存率）</t>
  </si>
  <si>
    <t xml:space="preserve">新規獲得会員数（人）</t>
  </si>
  <si>
    <t xml:space="preserve">年間平均購入回数（回）</t>
  </si>
  <si>
    <r>
      <rPr>
        <sz val="10"/>
        <rFont val="WenQuanYi Zen Hei"/>
        <family val="2"/>
      </rPr>
      <t xml:space="preserve">平均注文単価（</t>
    </r>
    <r>
      <rPr>
        <sz val="10"/>
        <rFont val="Yu Gothic"/>
        <family val="0"/>
        <charset val="1"/>
      </rPr>
      <t xml:space="preserve">AOV</t>
    </r>
    <r>
      <rPr>
        <sz val="10"/>
        <rFont val="WenQuanYi Zen Hei"/>
        <family val="2"/>
      </rPr>
      <t xml:space="preserve">・円）</t>
    </r>
  </si>
  <si>
    <t xml:space="preserve">卸取扱店舗数（店）</t>
  </si>
  <si>
    <t xml:space="preserve">店舗あたり年間出荷額（千円）</t>
  </si>
  <si>
    <t xml:space="preserve">売上原価率（対売上）</t>
  </si>
  <si>
    <t xml:space="preserve">広告宣伝費率（対売上）</t>
  </si>
  <si>
    <t xml:space="preserve">物流費率（対売上）</t>
  </si>
  <si>
    <t xml:space="preserve">設備投資（年間）</t>
  </si>
  <si>
    <r>
      <rPr>
        <sz val="9"/>
        <color rgb="FF737781"/>
        <rFont val="WenQuanYi Zen Hei"/>
        <family val="2"/>
      </rPr>
      <t xml:space="preserve">※ アクティブ会員数（計画年）</t>
    </r>
    <r>
      <rPr>
        <sz val="9"/>
        <color rgb="FF737781"/>
        <rFont val="Yu Gothic"/>
        <family val="0"/>
        <charset val="1"/>
      </rPr>
      <t xml:space="preserve">= </t>
    </r>
    <r>
      <rPr>
        <sz val="9"/>
        <color rgb="FF737781"/>
        <rFont val="WenQuanYi Zen Hei"/>
        <family val="2"/>
      </rPr>
      <t xml:space="preserve">前期会員数 </t>
    </r>
    <r>
      <rPr>
        <sz val="9"/>
        <color rgb="FF737781"/>
        <rFont val="Yu Gothic"/>
        <family val="0"/>
        <charset val="1"/>
      </rPr>
      <t xml:space="preserve">× </t>
    </r>
    <r>
      <rPr>
        <sz val="9"/>
        <color rgb="FF737781"/>
        <rFont val="WenQuanYi Zen Hei"/>
        <family val="2"/>
      </rPr>
      <t xml:space="preserve">リピート率 ＋ 新規獲得会員数</t>
    </r>
  </si>
  <si>
    <r>
      <rPr>
        <b val="true"/>
        <sz val="14"/>
        <color rgb="FF1A4F8B"/>
        <rFont val="WenQuanYi Zen Hei"/>
        <family val="2"/>
      </rPr>
      <t xml:space="preserve">損益計算書（</t>
    </r>
    <r>
      <rPr>
        <b val="true"/>
        <sz val="14"/>
        <color rgb="FF1A4F8B"/>
        <rFont val="Yu Gothic"/>
        <family val="0"/>
        <charset val="1"/>
      </rPr>
      <t xml:space="preserve">Projected P&amp;L</t>
    </r>
    <r>
      <rPr>
        <b val="true"/>
        <sz val="14"/>
        <color rgb="FF1A4F8B"/>
        <rFont val="WenQuanYi Zen Hei"/>
        <family val="2"/>
      </rPr>
      <t xml:space="preserve">）</t>
    </r>
  </si>
  <si>
    <t xml:space="preserve">（単位：百万円）</t>
  </si>
  <si>
    <r>
      <rPr>
        <sz val="10"/>
        <rFont val="Yu Gothic"/>
        <family val="0"/>
        <charset val="1"/>
      </rPr>
      <t xml:space="preserve">EC</t>
    </r>
    <r>
      <rPr>
        <sz val="10"/>
        <rFont val="WenQuanYi Zen Hei"/>
        <family val="2"/>
      </rPr>
      <t xml:space="preserve">売上（自社</t>
    </r>
    <r>
      <rPr>
        <sz val="10"/>
        <rFont val="Yu Gothic"/>
        <family val="0"/>
        <charset val="1"/>
      </rPr>
      <t xml:space="preserve">EC</t>
    </r>
    <r>
      <rPr>
        <sz val="10"/>
        <rFont val="WenQuanYi Zen Hei"/>
        <family val="2"/>
      </rPr>
      <t xml:space="preserve">・モール計）</t>
    </r>
  </si>
  <si>
    <t xml:space="preserve">卸売上（ドラッグストア・バラエティ）</t>
  </si>
  <si>
    <t xml:space="preserve">その他売上（百貨店・海外）</t>
  </si>
  <si>
    <t xml:space="preserve">売上収益 合計</t>
  </si>
  <si>
    <r>
      <rPr>
        <sz val="10"/>
        <rFont val="WenQuanYi Zen Hei"/>
        <family val="2"/>
      </rPr>
      <t xml:space="preserve">売上原価（</t>
    </r>
    <r>
      <rPr>
        <sz val="10"/>
        <rFont val="Yu Gothic"/>
        <family val="0"/>
        <charset val="1"/>
      </rPr>
      <t xml:space="preserve">OEM</t>
    </r>
    <r>
      <rPr>
        <sz val="10"/>
        <rFont val="WenQuanYi Zen Hei"/>
        <family val="2"/>
      </rPr>
      <t xml:space="preserve">仕入・資材）</t>
    </r>
  </si>
  <si>
    <t xml:space="preserve">売上総利益</t>
  </si>
  <si>
    <t xml:space="preserve">売上総利益率</t>
  </si>
  <si>
    <t xml:space="preserve">広告宣伝費</t>
  </si>
  <si>
    <t xml:space="preserve">物流費（配送・倉庫）</t>
  </si>
  <si>
    <t xml:space="preserve">人件費</t>
  </si>
  <si>
    <t xml:space="preserve">その他販管費</t>
  </si>
  <si>
    <t xml:space="preserve">販売費及び一般管理費 合計</t>
  </si>
  <si>
    <r>
      <rPr>
        <b val="true"/>
        <sz val="10"/>
        <rFont val="WenQuanYi Zen Hei"/>
        <family val="2"/>
      </rPr>
      <t xml:space="preserve">営業利益（</t>
    </r>
    <r>
      <rPr>
        <b val="true"/>
        <sz val="10"/>
        <rFont val="Yu Gothic"/>
        <family val="0"/>
        <charset val="1"/>
      </rPr>
      <t xml:space="preserve">EBIT</t>
    </r>
    <r>
      <rPr>
        <b val="true"/>
        <sz val="10"/>
        <rFont val="WenQuanYi Zen Hei"/>
        <family val="2"/>
      </rPr>
      <t xml:space="preserve">）</t>
    </r>
  </si>
  <si>
    <t xml:space="preserve">営業利益率</t>
  </si>
  <si>
    <t xml:space="preserve">減価償却費及び償却費</t>
  </si>
  <si>
    <t xml:space="preserve">EBITDA</t>
  </si>
  <si>
    <r>
      <rPr>
        <sz val="10"/>
        <rFont val="Yu Gothic"/>
        <family val="0"/>
        <charset val="1"/>
      </rPr>
      <t xml:space="preserve">EBITDA</t>
    </r>
    <r>
      <rPr>
        <sz val="10"/>
        <rFont val="WenQuanYi Zen Hei"/>
        <family val="2"/>
      </rPr>
      <t xml:space="preserve">マージン</t>
    </r>
  </si>
  <si>
    <t xml:space="preserve">支払利息</t>
  </si>
  <si>
    <t xml:space="preserve">営業外損益（純額）</t>
  </si>
  <si>
    <t xml:space="preserve">経常利益</t>
  </si>
  <si>
    <r>
      <rPr>
        <sz val="10"/>
        <rFont val="WenQuanYi Zen Hei"/>
        <family val="2"/>
      </rPr>
      <t xml:space="preserve">法人税等（実効税率</t>
    </r>
    <r>
      <rPr>
        <sz val="10"/>
        <rFont val="Yu Gothic"/>
        <family val="0"/>
        <charset val="1"/>
      </rPr>
      <t xml:space="preserve">30.5%</t>
    </r>
    <r>
      <rPr>
        <sz val="10"/>
        <rFont val="WenQuanYi Zen Hei"/>
        <family val="2"/>
      </rPr>
      <t xml:space="preserve">）</t>
    </r>
  </si>
  <si>
    <t xml:space="preserve">当期純利益</t>
  </si>
  <si>
    <r>
      <rPr>
        <b val="true"/>
        <sz val="14"/>
        <color rgb="FF1A4F8B"/>
        <rFont val="WenQuanYi Zen Hei"/>
        <family val="2"/>
      </rPr>
      <t xml:space="preserve">貸借対照表（</t>
    </r>
    <r>
      <rPr>
        <b val="true"/>
        <sz val="14"/>
        <color rgb="FF1A4F8B"/>
        <rFont val="Yu Gothic"/>
        <family val="0"/>
        <charset val="1"/>
      </rPr>
      <t xml:space="preserve">Projected B/S</t>
    </r>
    <r>
      <rPr>
        <b val="true"/>
        <sz val="14"/>
        <color rgb="FF1A4F8B"/>
        <rFont val="WenQuanYi Zen Hei"/>
        <family val="2"/>
      </rPr>
      <t xml:space="preserve">）</t>
    </r>
  </si>
  <si>
    <t xml:space="preserve">現金及び現金同等物</t>
  </si>
  <si>
    <t xml:space="preserve">営業債権（売掛金）</t>
  </si>
  <si>
    <t xml:space="preserve">棚卸資産</t>
  </si>
  <si>
    <t xml:space="preserve">その他流動資産</t>
  </si>
  <si>
    <t xml:space="preserve">有形固定資産</t>
  </si>
  <si>
    <t xml:space="preserve">のれん</t>
  </si>
  <si>
    <t xml:space="preserve">無形固定資産・その他</t>
  </si>
  <si>
    <t xml:space="preserve">資産合計</t>
  </si>
  <si>
    <t xml:space="preserve">営業債務（買掛金・未払費用）</t>
  </si>
  <si>
    <t xml:space="preserve">その他負債</t>
  </si>
  <si>
    <t xml:space="preserve">有利子負債</t>
  </si>
  <si>
    <t xml:space="preserve">負債合計</t>
  </si>
  <si>
    <t xml:space="preserve">純資産</t>
  </si>
  <si>
    <t xml:space="preserve">負債純資産合計</t>
  </si>
  <si>
    <r>
      <rPr>
        <sz val="9"/>
        <color rgb="FF737781"/>
        <rFont val="Yu Gothic"/>
        <family val="0"/>
        <charset val="1"/>
      </rPr>
      <t xml:space="preserve">※ 2027/3</t>
    </r>
    <r>
      <rPr>
        <sz val="9"/>
        <color rgb="FF737781"/>
        <rFont val="WenQuanYi Zen Hei"/>
        <family val="2"/>
      </rPr>
      <t xml:space="preserve">期以降は買収後連結（のれん計上・買収時調整を純資産に含む）。のれんは暫定</t>
    </r>
    <r>
      <rPr>
        <sz val="9"/>
        <color rgb="FF737781"/>
        <rFont val="Yu Gothic"/>
        <family val="0"/>
        <charset val="1"/>
      </rPr>
      <t xml:space="preserve">PPA</t>
    </r>
    <r>
      <rPr>
        <sz val="9"/>
        <color rgb="FF737781"/>
        <rFont val="WenQuanYi Zen Hei"/>
        <family val="2"/>
      </rPr>
      <t xml:space="preserve">前の想定額（</t>
    </r>
    <r>
      <rPr>
        <sz val="9"/>
        <color rgb="FF737781"/>
        <rFont val="Yu Gothic"/>
        <family val="0"/>
        <charset val="1"/>
      </rPr>
      <t xml:space="preserve">inp</t>
    </r>
    <r>
      <rPr>
        <sz val="9"/>
        <color rgb="FF737781"/>
        <rFont val="WenQuanYi Zen Hei"/>
        <family val="2"/>
      </rPr>
      <t xml:space="preserve">参照）。</t>
    </r>
  </si>
  <si>
    <r>
      <rPr>
        <b val="true"/>
        <sz val="14"/>
        <color rgb="FF1A4F8B"/>
        <rFont val="WenQuanYi Zen Hei"/>
        <family val="2"/>
      </rPr>
      <t xml:space="preserve">キャッシュフロー計算書（</t>
    </r>
    <r>
      <rPr>
        <b val="true"/>
        <sz val="14"/>
        <color rgb="FF1A4F8B"/>
        <rFont val="Yu Gothic"/>
        <family val="0"/>
        <charset val="1"/>
      </rPr>
      <t xml:space="preserve">Projected C/F</t>
    </r>
    <r>
      <rPr>
        <b val="true"/>
        <sz val="14"/>
        <color rgb="FF1A4F8B"/>
        <rFont val="WenQuanYi Zen Hei"/>
        <family val="2"/>
      </rPr>
      <t xml:space="preserve">）</t>
    </r>
  </si>
  <si>
    <t xml:space="preserve">税引後当期純利益</t>
  </si>
  <si>
    <t xml:space="preserve">運転資本増減・その他（△増加）</t>
  </si>
  <si>
    <t xml:space="preserve">営業キャッシュフロー</t>
  </si>
  <si>
    <r>
      <rPr>
        <sz val="10"/>
        <rFont val="WenQuanYi Zen Hei"/>
        <family val="2"/>
      </rPr>
      <t xml:space="preserve">設備投資等（投資</t>
    </r>
    <r>
      <rPr>
        <sz val="10"/>
        <rFont val="Yu Gothic"/>
        <family val="0"/>
        <charset val="1"/>
      </rPr>
      <t xml:space="preserve">CF</t>
    </r>
    <r>
      <rPr>
        <sz val="10"/>
        <rFont val="WenQuanYi Zen Hei"/>
        <family val="2"/>
      </rPr>
      <t xml:space="preserve">）</t>
    </r>
  </si>
  <si>
    <r>
      <rPr>
        <sz val="10"/>
        <rFont val="WenQuanYi Zen Hei"/>
        <family val="2"/>
      </rPr>
      <t xml:space="preserve">フリー・キャッシュフロー（</t>
    </r>
    <r>
      <rPr>
        <sz val="10"/>
        <rFont val="Yu Gothic"/>
        <family val="0"/>
        <charset val="1"/>
      </rPr>
      <t xml:space="preserve">FCF</t>
    </r>
    <r>
      <rPr>
        <sz val="10"/>
        <rFont val="WenQuanYi Zen Hei"/>
        <family val="2"/>
      </rPr>
      <t xml:space="preserve">）</t>
    </r>
  </si>
  <si>
    <t xml:space="preserve">借入金返済</t>
  </si>
  <si>
    <t xml:space="preserve">配当・その他財務</t>
  </si>
  <si>
    <t xml:space="preserve">財務キャッシュフロー</t>
  </si>
  <si>
    <t xml:space="preserve">現金増減</t>
  </si>
  <si>
    <t xml:space="preserve">期首現金</t>
  </si>
  <si>
    <t xml:space="preserve">期末現金</t>
  </si>
  <si>
    <r>
      <rPr>
        <sz val="9"/>
        <color rgb="FF737781"/>
        <rFont val="Yu Gothic"/>
        <family val="0"/>
        <charset val="1"/>
      </rPr>
      <t xml:space="preserve">※ 2027/3</t>
    </r>
    <r>
      <rPr>
        <sz val="9"/>
        <color rgb="FF737781"/>
        <rFont val="WenQuanYi Zen Hei"/>
        <family val="2"/>
      </rPr>
      <t xml:space="preserve">期期首現金は買収時調整後（手元現金</t>
    </r>
    <r>
      <rPr>
        <sz val="9"/>
        <color rgb="FF737781"/>
        <rFont val="Yu Gothic"/>
        <family val="0"/>
        <charset val="1"/>
      </rPr>
      <t xml:space="preserve">380</t>
    </r>
    <r>
      <rPr>
        <sz val="9"/>
        <color rgb="FF737781"/>
        <rFont val="WenQuanYi Zen Hei"/>
        <family val="2"/>
      </rPr>
      <t xml:space="preserve">百万円を買収資金に充当後の</t>
    </r>
    <r>
      <rPr>
        <sz val="9"/>
        <color rgb="FF737781"/>
        <rFont val="Yu Gothic"/>
        <family val="0"/>
        <charset val="1"/>
      </rPr>
      <t xml:space="preserve">240</t>
    </r>
    <r>
      <rPr>
        <sz val="9"/>
        <color rgb="FF737781"/>
        <rFont val="WenQuanYi Zen Hei"/>
        <family val="2"/>
      </rPr>
      <t xml:space="preserve">百万円）。</t>
    </r>
  </si>
  <si>
    <r>
      <rPr>
        <b val="true"/>
        <sz val="14"/>
        <color rgb="FF1A4F8B"/>
        <rFont val="WenQuanYi Zen Hei"/>
        <family val="2"/>
      </rPr>
      <t xml:space="preserve">デットスケジュール（シニアタームローン</t>
    </r>
    <r>
      <rPr>
        <b val="true"/>
        <sz val="14"/>
        <color rgb="FF1A4F8B"/>
        <rFont val="Yu Gothic"/>
        <family val="0"/>
        <charset val="1"/>
      </rPr>
      <t xml:space="preserve">A</t>
    </r>
    <r>
      <rPr>
        <b val="true"/>
        <sz val="14"/>
        <color rgb="FF1A4F8B"/>
        <rFont val="WenQuanYi Zen Hei"/>
        <family val="2"/>
      </rPr>
      <t xml:space="preserve">）</t>
    </r>
  </si>
  <si>
    <t xml:space="preserve">期初残高</t>
  </si>
  <si>
    <t xml:space="preserve">約定弁済</t>
  </si>
  <si>
    <t xml:space="preserve">期末残高</t>
  </si>
  <si>
    <t xml:space="preserve">平均残高</t>
  </si>
  <si>
    <r>
      <rPr>
        <sz val="9"/>
        <color rgb="FF737781"/>
        <rFont val="WenQuanYi Zen Hei"/>
        <family val="2"/>
      </rPr>
      <t xml:space="preserve">※ 約定弁済は年</t>
    </r>
    <r>
      <rPr>
        <sz val="9"/>
        <color rgb="FF737781"/>
        <rFont val="Yu Gothic"/>
        <family val="0"/>
        <charset val="1"/>
      </rPr>
      <t xml:space="preserve">480</t>
    </r>
    <r>
      <rPr>
        <sz val="9"/>
        <color rgb="FF737781"/>
        <rFont val="WenQuanYi Zen Hei"/>
        <family val="2"/>
      </rPr>
      <t xml:space="preserve">百万円、最終回（</t>
    </r>
    <r>
      <rPr>
        <sz val="9"/>
        <color rgb="FF737781"/>
        <rFont val="Yu Gothic"/>
        <family val="0"/>
        <charset val="1"/>
      </rPr>
      <t xml:space="preserve">FY34</t>
    </r>
    <r>
      <rPr>
        <sz val="9"/>
        <color rgb="FF737781"/>
        <rFont val="WenQuanYi Zen Hei"/>
        <family val="2"/>
      </rPr>
      <t xml:space="preserve">）残額一括。実績年欄は対象外（既存借入は</t>
    </r>
    <r>
      <rPr>
        <sz val="9"/>
        <color rgb="FF737781"/>
        <rFont val="Yu Gothic"/>
        <family val="0"/>
        <charset val="1"/>
      </rPr>
      <t xml:space="preserve">BS</t>
    </r>
    <r>
      <rPr>
        <sz val="9"/>
        <color rgb="FF737781"/>
        <rFont val="WenQuanYi Zen Hei"/>
        <family val="2"/>
      </rPr>
      <t xml:space="preserve">参照）。</t>
    </r>
  </si>
  <si>
    <t xml:space="preserve">（作業メモ・成果物ではありません）</t>
  </si>
  <si>
    <r>
      <rPr>
        <sz val="10"/>
        <rFont val="Yu Gothic"/>
        <family val="0"/>
        <charset val="1"/>
      </rPr>
      <t xml:space="preserve">6/18 </t>
    </r>
    <r>
      <rPr>
        <sz val="10"/>
        <rFont val="WenQuanYi Zen Hei"/>
        <family val="2"/>
      </rPr>
      <t xml:space="preserve">銀行提出用に単位を百万円へ統一（旧版は千円）</t>
    </r>
  </si>
  <si>
    <r>
      <rPr>
        <sz val="10"/>
        <rFont val="Yu Gothic"/>
        <family val="0"/>
        <charset val="1"/>
      </rPr>
      <t xml:space="preserve">TODO: PPA</t>
    </r>
    <r>
      <rPr>
        <sz val="10"/>
        <rFont val="WenQuanYi Zen Hei"/>
        <family val="2"/>
      </rPr>
      <t xml:space="preserve">確定後にのれん・無形の内訳を更新（暫定 </t>
    </r>
    <r>
      <rPr>
        <sz val="10"/>
        <rFont val="Yu Gothic"/>
        <family val="0"/>
        <charset val="1"/>
      </rPr>
      <t xml:space="preserve">6,100 / 465</t>
    </r>
    <r>
      <rPr>
        <sz val="10"/>
        <rFont val="WenQuanYi Zen Hei"/>
        <family val="2"/>
      </rPr>
      <t xml:space="preserve">）</t>
    </r>
  </si>
  <si>
    <r>
      <rPr>
        <sz val="10"/>
        <rFont val="WenQuanYi Zen Hei"/>
        <family val="2"/>
      </rPr>
      <t xml:space="preserve">リピート率の定義＝当期購入会員のうち前期も購入した会員の比率（</t>
    </r>
    <r>
      <rPr>
        <sz val="10"/>
        <rFont val="Yu Gothic"/>
        <family val="0"/>
        <charset val="1"/>
      </rPr>
      <t xml:space="preserve">CRM</t>
    </r>
    <r>
      <rPr>
        <sz val="10"/>
        <rFont val="WenQuanYi Zen Hei"/>
        <family val="2"/>
      </rPr>
      <t xml:space="preserve">抽出）</t>
    </r>
  </si>
  <si>
    <t xml:space="preserve">卸の店販は帳合経由の出荷ベース。返品控除後</t>
  </si>
</sst>
</file>

<file path=xl/styles.xml><?xml version="1.0" encoding="utf-8"?>
<styleSheet xmlns="http://schemas.openxmlformats.org/spreadsheetml/2006/main">
  <numFmts count="6">
    <numFmt numFmtId="164" formatCode="General"/>
    <numFmt numFmtId="165" formatCode="#,##0"/>
    <numFmt numFmtId="166" formatCode="0.0\x"/>
    <numFmt numFmtId="167" formatCode="0"/>
    <numFmt numFmtId="168" formatCode="0.0%"/>
    <numFmt numFmtId="169" formatCode="#,##0.00"/>
  </numFmts>
  <fonts count="19">
    <font>
      <sz val="11"/>
      <color theme="1"/>
      <name val="Calibri"/>
      <family val="2"/>
      <charset val="1"/>
    </font>
    <font>
      <sz val="10"/>
      <name val="Arial"/>
      <family val="0"/>
    </font>
    <font>
      <sz val="10"/>
      <name val="Arial"/>
      <family val="0"/>
    </font>
    <font>
      <sz val="10"/>
      <name val="Arial"/>
      <family val="0"/>
    </font>
    <font>
      <b val="true"/>
      <sz val="24"/>
      <color rgb="FF1A4F8B"/>
      <name val="Yu Gothic"/>
      <family val="0"/>
      <charset val="1"/>
    </font>
    <font>
      <b val="true"/>
      <sz val="16"/>
      <name val="WenQuanYi Zen Hei"/>
      <family val="2"/>
    </font>
    <font>
      <b val="true"/>
      <sz val="16"/>
      <name val="Yu Gothic"/>
      <family val="0"/>
      <charset val="1"/>
    </font>
    <font>
      <b val="true"/>
      <sz val="12"/>
      <name val="WenQuanYi Zen Hei"/>
      <family val="2"/>
    </font>
    <font>
      <b val="true"/>
      <sz val="12"/>
      <name val="Yu Gothic"/>
      <family val="0"/>
      <charset val="1"/>
    </font>
    <font>
      <b val="true"/>
      <sz val="10"/>
      <name val="WenQuanYi Zen Hei"/>
      <family val="2"/>
    </font>
    <font>
      <sz val="10"/>
      <name val="WenQuanYi Zen Hei"/>
      <family val="2"/>
    </font>
    <font>
      <sz val="10"/>
      <name val="Yu Gothic"/>
      <family val="0"/>
      <charset val="1"/>
    </font>
    <font>
      <b val="true"/>
      <sz val="10"/>
      <name val="Yu Gothic"/>
      <family val="0"/>
      <charset val="1"/>
    </font>
    <font>
      <sz val="9"/>
      <color rgb="FF737781"/>
      <name val="WenQuanYi Zen Hei"/>
      <family val="2"/>
    </font>
    <font>
      <b val="true"/>
      <sz val="14"/>
      <color rgb="FF1A4F8B"/>
      <name val="WenQuanYi Zen Hei"/>
      <family val="2"/>
    </font>
    <font>
      <b val="true"/>
      <sz val="14"/>
      <color rgb="FF1A4F8B"/>
      <name val="Yu Gothic"/>
      <family val="0"/>
      <charset val="1"/>
    </font>
    <font>
      <sz val="9"/>
      <color rgb="FF737781"/>
      <name val="Yu Gothic"/>
      <family val="0"/>
      <charset val="1"/>
    </font>
    <font>
      <sz val="10"/>
      <color rgb="FF0000C0"/>
      <name val="Yu Gothic"/>
      <family val="0"/>
      <charset val="1"/>
    </font>
    <font>
      <sz val="10"/>
      <color rgb="FF0000C0"/>
      <name val="WenQuanYi Zen Hei"/>
      <family val="2"/>
    </font>
  </fonts>
  <fills count="4">
    <fill>
      <patternFill patternType="none"/>
    </fill>
    <fill>
      <patternFill patternType="gray125"/>
    </fill>
    <fill>
      <patternFill patternType="solid">
        <fgColor rgb="FFEDEDF3"/>
        <bgColor rgb="FFF5F5F5"/>
      </patternFill>
    </fill>
    <fill>
      <patternFill patternType="solid">
        <fgColor rgb="FFF5F5F5"/>
        <bgColor rgb="FFEDEDF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center" vertical="bottom" textRotation="0" wrapText="false" indent="0" shrinkToFit="false"/>
      <protection locked="true" hidden="false"/>
    </xf>
    <xf numFmtId="164" fontId="16" fillId="0" borderId="0" xfId="0" applyFont="true" applyBorder="false" applyAlignment="true" applyProtection="false">
      <alignment horizontal="center" vertical="bottom" textRotation="0" wrapText="false" indent="0" shrinkToFit="false"/>
      <protection locked="true" hidden="false"/>
    </xf>
    <xf numFmtId="165" fontId="17" fillId="0" borderId="0" xfId="0" applyFont="true" applyBorder="false" applyAlignment="false" applyProtection="false">
      <alignment horizontal="general" vertical="bottom" textRotation="0" wrapText="false" indent="0" shrinkToFit="false"/>
      <protection locked="true" hidden="false"/>
    </xf>
    <xf numFmtId="166" fontId="17" fillId="0" borderId="0" xfId="0" applyFont="true" applyBorder="false" applyAlignment="false" applyProtection="false">
      <alignment horizontal="general" vertical="bottom" textRotation="0" wrapText="false" indent="0" shrinkToFit="false"/>
      <protection locked="true" hidden="false"/>
    </xf>
    <xf numFmtId="167" fontId="17" fillId="0" borderId="0" xfId="0" applyFont="true" applyBorder="false" applyAlignment="false" applyProtection="false">
      <alignment horizontal="general" vertical="bottom" textRotation="0" wrapText="false" indent="0" shrinkToFit="false"/>
      <protection locked="true" hidden="false"/>
    </xf>
    <xf numFmtId="168" fontId="17"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true" applyProtection="false">
      <alignment horizontal="center" vertical="bottom" textRotation="0" wrapText="false" indent="0" shrinkToFit="false"/>
      <protection locked="true" hidden="false"/>
    </xf>
    <xf numFmtId="165" fontId="17" fillId="3"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8" fontId="17" fillId="3" borderId="0" xfId="0" applyFont="true" applyBorder="false" applyAlignment="false" applyProtection="false">
      <alignment horizontal="general" vertical="bottom" textRotation="0" wrapText="false" indent="0" shrinkToFit="false"/>
      <protection locked="true" hidden="false"/>
    </xf>
    <xf numFmtId="169" fontId="17" fillId="3" borderId="0" xfId="0" applyFont="true" applyBorder="false" applyAlignment="false" applyProtection="false">
      <alignment horizontal="general" vertical="bottom" textRotation="0" wrapText="false" indent="0" shrinkToFit="false"/>
      <protection locked="true" hidden="false"/>
    </xf>
    <xf numFmtId="169" fontId="17" fillId="0" borderId="0" xfId="0" applyFont="true" applyBorder="false" applyAlignment="false" applyProtection="false">
      <alignment horizontal="general" vertical="bottom" textRotation="0" wrapText="false" indent="0" shrinkToFit="false"/>
      <protection locked="true" hidden="false"/>
    </xf>
    <xf numFmtId="165" fontId="12" fillId="3" borderId="0" xfId="0" applyFont="tru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8" fontId="11" fillId="3" borderId="0" xfId="0" applyFont="true" applyBorder="false" applyAlignment="false" applyProtection="false">
      <alignment horizontal="general" vertical="bottom" textRotation="0" wrapText="false" indent="0" shrinkToFit="false"/>
      <protection locked="true" hidden="false"/>
    </xf>
    <xf numFmtId="168" fontId="11" fillId="0" borderId="0" xfId="0" applyFont="true" applyBorder="false" applyAlignment="false" applyProtection="false">
      <alignment horizontal="general" vertical="bottom" textRotation="0" wrapText="false" indent="0" shrinkToFit="false"/>
      <protection locked="true" hidden="false"/>
    </xf>
    <xf numFmtId="165" fontId="11" fillId="3"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5F5F5"/>
      <rgbColor rgb="FFFF0000"/>
      <rgbColor rgb="FF00FF00"/>
      <rgbColor rgb="FF0000C0"/>
      <rgbColor rgb="FFFFFF00"/>
      <rgbColor rgb="FFFF00FF"/>
      <rgbColor rgb="FF00FFFF"/>
      <rgbColor rgb="FF800000"/>
      <rgbColor rgb="FF008000"/>
      <rgbColor rgb="FF000080"/>
      <rgbColor rgb="FF808000"/>
      <rgbColor rgb="FF800080"/>
      <rgbColor rgb="FF008080"/>
      <rgbColor rgb="FFC0C0C0"/>
      <rgbColor rgb="FF737781"/>
      <rgbColor rgb="FF9999FF"/>
      <rgbColor rgb="FF993366"/>
      <rgbColor rgb="FFEDEDF3"/>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A4F8B"/>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4:D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2" min="2" style="0" width="22"/>
    <col collapsed="false" customWidth="true" hidden="false" outlineLevel="0" max="4" min="4" style="0" width="72"/>
  </cols>
  <sheetData>
    <row r="4" customFormat="false" ht="29.15" hidden="false" customHeight="false" outlineLevel="0" collapsed="false">
      <c r="B4" s="1" t="s">
        <v>0</v>
      </c>
    </row>
    <row r="6" customFormat="false" ht="20.85" hidden="false" customHeight="false" outlineLevel="0" collapsed="false">
      <c r="B6" s="2" t="s">
        <v>1</v>
      </c>
    </row>
    <row r="8" customFormat="false" ht="16.4" hidden="false" customHeight="false" outlineLevel="0" collapsed="false">
      <c r="B8" s="3" t="s">
        <v>2</v>
      </c>
    </row>
    <row r="10" customFormat="false" ht="15" hidden="false" customHeight="false" outlineLevel="0" collapsed="false">
      <c r="B10" s="4" t="s">
        <v>3</v>
      </c>
      <c r="D10" s="5" t="s">
        <v>4</v>
      </c>
    </row>
    <row r="11" customFormat="false" ht="15" hidden="false" customHeight="false" outlineLevel="0" collapsed="false">
      <c r="B11" s="4" t="s">
        <v>5</v>
      </c>
      <c r="D11" s="5" t="s">
        <v>6</v>
      </c>
    </row>
    <row r="12" customFormat="false" ht="15" hidden="false" customHeight="false" outlineLevel="0" collapsed="false">
      <c r="B12" s="4" t="s">
        <v>7</v>
      </c>
      <c r="D12" s="5" t="s">
        <v>8</v>
      </c>
    </row>
    <row r="13" customFormat="false" ht="15" hidden="false" customHeight="false" outlineLevel="0" collapsed="false">
      <c r="B13" s="4" t="s">
        <v>9</v>
      </c>
      <c r="D13" s="5" t="s">
        <v>10</v>
      </c>
    </row>
    <row r="14" customFormat="false" ht="15" hidden="false" customHeight="false" outlineLevel="0" collapsed="false">
      <c r="B14" s="4" t="s">
        <v>11</v>
      </c>
      <c r="D14" s="6" t="s">
        <v>12</v>
      </c>
    </row>
    <row r="15" customFormat="false" ht="15" hidden="false" customHeight="false" outlineLevel="0" collapsed="false">
      <c r="B15" s="4" t="s">
        <v>13</v>
      </c>
      <c r="D15" s="6" t="s">
        <v>14</v>
      </c>
    </row>
    <row r="16" customFormat="false" ht="15" hidden="false" customHeight="false" outlineLevel="0" collapsed="false">
      <c r="B16" s="4" t="s">
        <v>15</v>
      </c>
      <c r="D16" s="6" t="s">
        <v>16</v>
      </c>
    </row>
    <row r="17" customFormat="false" ht="15" hidden="false" customHeight="false" outlineLevel="0" collapsed="false">
      <c r="B17" s="4" t="s">
        <v>17</v>
      </c>
      <c r="D17" s="5" t="s">
        <v>18</v>
      </c>
    </row>
    <row r="18" customFormat="false" ht="15" hidden="false" customHeight="false" outlineLevel="0" collapsed="false">
      <c r="B18" s="4" t="s">
        <v>19</v>
      </c>
      <c r="D18" s="6" t="s">
        <v>20</v>
      </c>
    </row>
    <row r="21" customFormat="false" ht="15" hidden="false" customHeight="false" outlineLevel="0" collapsed="false">
      <c r="B21" s="7" t="s">
        <v>21</v>
      </c>
    </row>
    <row r="22" customFormat="false" ht="15" hidden="false" customHeight="false" outlineLevel="0" collapsed="false">
      <c r="B22" s="7" t="s">
        <v>22</v>
      </c>
    </row>
    <row r="23" customFormat="false" ht="15" hidden="false" customHeight="false" outlineLevel="0" collapsed="false">
      <c r="B23" s="7" t="s">
        <v>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36"/>
    <col collapsed="false" customWidth="true" hidden="false" outlineLevel="0" max="10" min="3" style="0" width="12"/>
  </cols>
  <sheetData>
    <row r="1" customFormat="false" ht="19.4" hidden="false" customHeight="false" outlineLevel="0" collapsed="false">
      <c r="A1" s="8" t="s">
        <v>24</v>
      </c>
    </row>
    <row r="2" customFormat="false" ht="15" hidden="false" customHeight="false" outlineLevel="0" collapsed="false">
      <c r="A2" s="7" t="s">
        <v>25</v>
      </c>
      <c r="H2" s="4" t="s">
        <v>26</v>
      </c>
    </row>
    <row r="4" customFormat="false" ht="15" hidden="false" customHeight="false" outlineLevel="0" collapsed="false">
      <c r="C4" s="9"/>
      <c r="D4" s="9"/>
      <c r="E4" s="9"/>
      <c r="F4" s="9"/>
      <c r="G4" s="9"/>
      <c r="H4" s="9"/>
      <c r="I4" s="9"/>
      <c r="J4" s="9"/>
    </row>
    <row r="5" customFormat="false" ht="15" hidden="false" customHeight="false" outlineLevel="0" collapsed="false">
      <c r="C5" s="10"/>
      <c r="D5" s="10"/>
      <c r="E5" s="10"/>
      <c r="F5" s="10"/>
      <c r="G5" s="10"/>
      <c r="H5" s="10"/>
      <c r="I5" s="10"/>
      <c r="J5" s="10"/>
    </row>
    <row r="6" customFormat="false" ht="15" hidden="false" customHeight="false" outlineLevel="0" collapsed="false">
      <c r="B6" s="4" t="s">
        <v>27</v>
      </c>
    </row>
    <row r="8" customFormat="false" ht="15" hidden="false" customHeight="false" outlineLevel="0" collapsed="false">
      <c r="B8" s="5" t="s">
        <v>28</v>
      </c>
      <c r="D8" s="11" t="n">
        <v>9000</v>
      </c>
    </row>
    <row r="9" customFormat="false" ht="15" hidden="false" customHeight="false" outlineLevel="0" collapsed="false">
      <c r="B9" s="6" t="s">
        <v>29</v>
      </c>
      <c r="D9" s="12" t="n">
        <v>8</v>
      </c>
    </row>
    <row r="10" customFormat="false" ht="15" hidden="false" customHeight="false" outlineLevel="0" collapsed="false">
      <c r="B10" s="5" t="s">
        <v>30</v>
      </c>
      <c r="D10" s="11" t="n">
        <v>9220</v>
      </c>
    </row>
    <row r="11" customFormat="false" ht="15" hidden="false" customHeight="false" outlineLevel="0" collapsed="false">
      <c r="B11" s="5" t="s">
        <v>31</v>
      </c>
      <c r="D11" s="11" t="n">
        <v>4800</v>
      </c>
    </row>
    <row r="12" customFormat="false" ht="15" hidden="false" customHeight="false" outlineLevel="0" collapsed="false">
      <c r="B12" s="5" t="s">
        <v>32</v>
      </c>
      <c r="D12" s="11" t="n">
        <v>4620</v>
      </c>
    </row>
    <row r="13" customFormat="false" ht="15" hidden="false" customHeight="false" outlineLevel="0" collapsed="false">
      <c r="B13" s="5" t="s">
        <v>33</v>
      </c>
      <c r="D13" s="11" t="n">
        <v>400</v>
      </c>
    </row>
    <row r="14" customFormat="false" ht="15" hidden="false" customHeight="false" outlineLevel="0" collapsed="false">
      <c r="B14" s="5" t="s">
        <v>34</v>
      </c>
      <c r="D14" s="11" t="n">
        <v>180</v>
      </c>
    </row>
    <row r="15" customFormat="false" ht="15" hidden="false" customHeight="false" outlineLevel="0" collapsed="false">
      <c r="B15" s="5" t="s">
        <v>35</v>
      </c>
      <c r="D15" s="11" t="n">
        <v>380</v>
      </c>
    </row>
    <row r="16" customFormat="false" ht="15" hidden="false" customHeight="false" outlineLevel="0" collapsed="false">
      <c r="B16" s="5" t="s">
        <v>36</v>
      </c>
      <c r="D16" s="11" t="n">
        <v>6100</v>
      </c>
    </row>
    <row r="17" customFormat="false" ht="15" hidden="false" customHeight="false" outlineLevel="0" collapsed="false">
      <c r="B17" s="5" t="s">
        <v>37</v>
      </c>
      <c r="D17" s="13" t="n">
        <v>7</v>
      </c>
    </row>
    <row r="18" customFormat="false" ht="15" hidden="false" customHeight="false" outlineLevel="0" collapsed="false">
      <c r="B18" s="5" t="s">
        <v>38</v>
      </c>
      <c r="D18" s="14" t="n">
        <v>0.023</v>
      </c>
    </row>
    <row r="19" customFormat="false" ht="15" hidden="false" customHeight="false" outlineLevel="0" collapsed="false">
      <c r="B19" s="5" t="s">
        <v>39</v>
      </c>
      <c r="D19" s="11" t="n">
        <v>480</v>
      </c>
    </row>
    <row r="21" customFormat="false" ht="15" hidden="false" customHeight="false" outlineLevel="0" collapsed="false">
      <c r="B21" s="5" t="s">
        <v>40</v>
      </c>
      <c r="D21" s="11" t="n">
        <v>1120</v>
      </c>
    </row>
    <row r="22" customFormat="false" ht="15" hidden="false" customHeight="false" outlineLevel="0" collapsed="false">
      <c r="B22" s="5" t="s">
        <v>13</v>
      </c>
      <c r="D22" s="15" t="s">
        <v>41</v>
      </c>
    </row>
    <row r="23" customFormat="false" ht="15" hidden="false" customHeight="false" outlineLevel="0" collapsed="false">
      <c r="B23" s="5" t="s">
        <v>42</v>
      </c>
      <c r="D23" s="16" t="s">
        <v>43</v>
      </c>
    </row>
    <row r="25" customFormat="false" ht="15" hidden="false" customHeight="false" outlineLevel="0" collapsed="false">
      <c r="B25" s="7" t="s">
        <v>44</v>
      </c>
    </row>
    <row r="26" customFormat="false" ht="15" hidden="false" customHeight="false" outlineLevel="0" collapsed="false">
      <c r="B26" s="17" t="s">
        <v>45</v>
      </c>
    </row>
    <row r="27" customFormat="false" ht="15" hidden="false" customHeight="false" outlineLevel="0" collapsed="false">
      <c r="C27" s="18" t="s">
        <v>46</v>
      </c>
      <c r="D27" s="18" t="s">
        <v>47</v>
      </c>
      <c r="E27" s="18" t="s">
        <v>48</v>
      </c>
      <c r="F27" s="18" t="s">
        <v>49</v>
      </c>
      <c r="G27" s="18" t="s">
        <v>50</v>
      </c>
      <c r="H27" s="18" t="s">
        <v>51</v>
      </c>
      <c r="I27" s="18" t="s">
        <v>52</v>
      </c>
      <c r="J27" s="18" t="s">
        <v>53</v>
      </c>
    </row>
    <row r="28" customFormat="false" ht="15" hidden="false" customHeight="false" outlineLevel="0" collapsed="false">
      <c r="C28" s="10" t="s">
        <v>54</v>
      </c>
      <c r="D28" s="10" t="s">
        <v>54</v>
      </c>
      <c r="E28" s="10" t="s">
        <v>54</v>
      </c>
      <c r="F28" s="10" t="s">
        <v>55</v>
      </c>
      <c r="G28" s="10" t="s">
        <v>55</v>
      </c>
      <c r="H28" s="10" t="s">
        <v>55</v>
      </c>
      <c r="I28" s="10" t="s">
        <v>55</v>
      </c>
      <c r="J28" s="10" t="s">
        <v>55</v>
      </c>
    </row>
    <row r="30" customFormat="false" ht="15" hidden="false" customHeight="false" outlineLevel="0" collapsed="false">
      <c r="B30" s="5" t="s">
        <v>56</v>
      </c>
      <c r="C30" s="19" t="n">
        <v>196000</v>
      </c>
      <c r="D30" s="19" t="n">
        <v>212000</v>
      </c>
      <c r="E30" s="19" t="n">
        <v>228000</v>
      </c>
      <c r="F30" s="20" t="n">
        <f aca="false">ROUND(E30*F31+F32,0)</f>
        <v>239280</v>
      </c>
      <c r="G30" s="20" t="n">
        <f aca="false">ROUND(F30*G31+G32,0)</f>
        <v>247853</v>
      </c>
      <c r="H30" s="20" t="n">
        <f aca="false">ROUND(G30*H31+H32,0)</f>
        <v>254368</v>
      </c>
      <c r="I30" s="20" t="n">
        <f aca="false">ROUND(H30*I31+I32,0)</f>
        <v>259320</v>
      </c>
      <c r="J30" s="20" t="n">
        <f aca="false">ROUND(I30*J31+J32,0)</f>
        <v>263083</v>
      </c>
    </row>
    <row r="31" customFormat="false" ht="15" hidden="false" customHeight="false" outlineLevel="0" collapsed="false">
      <c r="B31" s="5" t="s">
        <v>57</v>
      </c>
      <c r="C31" s="21" t="n">
        <v>0.74</v>
      </c>
      <c r="D31" s="21" t="n">
        <v>0.75</v>
      </c>
      <c r="E31" s="21" t="n">
        <v>0.76</v>
      </c>
      <c r="F31" s="14" t="n">
        <v>0.76</v>
      </c>
      <c r="G31" s="14" t="n">
        <v>0.76</v>
      </c>
      <c r="H31" s="14" t="n">
        <v>0.76</v>
      </c>
      <c r="I31" s="14" t="n">
        <v>0.76</v>
      </c>
      <c r="J31" s="14" t="n">
        <v>0.76</v>
      </c>
    </row>
    <row r="32" customFormat="false" ht="15" hidden="false" customHeight="false" outlineLevel="0" collapsed="false">
      <c r="B32" s="5" t="s">
        <v>58</v>
      </c>
      <c r="C32" s="19" t="n">
        <v>58000</v>
      </c>
      <c r="D32" s="19" t="n">
        <v>65000</v>
      </c>
      <c r="E32" s="19" t="n">
        <v>69000</v>
      </c>
      <c r="F32" s="11" t="n">
        <v>66000</v>
      </c>
      <c r="G32" s="11" t="n">
        <v>66000</v>
      </c>
      <c r="H32" s="11" t="n">
        <v>66000</v>
      </c>
      <c r="I32" s="11" t="n">
        <v>66000</v>
      </c>
      <c r="J32" s="11" t="n">
        <v>66000</v>
      </c>
    </row>
    <row r="33" customFormat="false" ht="15" hidden="false" customHeight="false" outlineLevel="0" collapsed="false">
      <c r="B33" s="5" t="s">
        <v>59</v>
      </c>
      <c r="C33" s="22" t="n">
        <v>2.45</v>
      </c>
      <c r="D33" s="22" t="n">
        <v>2.52</v>
      </c>
      <c r="E33" s="22" t="n">
        <v>2.6</v>
      </c>
      <c r="F33" s="23" t="n">
        <v>2.6</v>
      </c>
      <c r="G33" s="23" t="n">
        <v>2.61</v>
      </c>
      <c r="H33" s="23" t="n">
        <v>2.62</v>
      </c>
      <c r="I33" s="23" t="n">
        <v>2.64</v>
      </c>
      <c r="J33" s="23" t="n">
        <v>2.65</v>
      </c>
    </row>
    <row r="34" customFormat="false" ht="15" hidden="false" customHeight="false" outlineLevel="0" collapsed="false">
      <c r="B34" s="5" t="s">
        <v>60</v>
      </c>
      <c r="C34" s="19" t="n">
        <v>6400</v>
      </c>
      <c r="D34" s="19" t="n">
        <v>6520</v>
      </c>
      <c r="E34" s="19" t="n">
        <v>6650</v>
      </c>
      <c r="F34" s="11" t="n">
        <v>6720</v>
      </c>
      <c r="G34" s="11" t="n">
        <v>6790</v>
      </c>
      <c r="H34" s="11" t="n">
        <v>6860</v>
      </c>
      <c r="I34" s="11" t="n">
        <v>6930</v>
      </c>
      <c r="J34" s="11" t="n">
        <v>7000</v>
      </c>
    </row>
    <row r="35" customFormat="false" ht="15" hidden="false" customHeight="false" outlineLevel="0" collapsed="false">
      <c r="B35" s="5" t="s">
        <v>61</v>
      </c>
      <c r="C35" s="19" t="n">
        <v>3980</v>
      </c>
      <c r="D35" s="19" t="n">
        <v>4060</v>
      </c>
      <c r="E35" s="19" t="n">
        <v>4150</v>
      </c>
      <c r="F35" s="11" t="n">
        <v>4200</v>
      </c>
      <c r="G35" s="11" t="n">
        <v>4240</v>
      </c>
      <c r="H35" s="11" t="n">
        <v>4280</v>
      </c>
      <c r="I35" s="11" t="n">
        <v>4320</v>
      </c>
      <c r="J35" s="11" t="n">
        <v>4350</v>
      </c>
    </row>
    <row r="36" customFormat="false" ht="15" hidden="false" customHeight="false" outlineLevel="0" collapsed="false">
      <c r="B36" s="5" t="s">
        <v>62</v>
      </c>
      <c r="C36" s="19" t="n">
        <v>930</v>
      </c>
      <c r="D36" s="19" t="n">
        <v>975</v>
      </c>
      <c r="E36" s="19" t="n">
        <v>1010</v>
      </c>
      <c r="F36" s="11" t="n">
        <v>1020</v>
      </c>
      <c r="G36" s="11" t="n">
        <v>1028</v>
      </c>
      <c r="H36" s="11" t="n">
        <v>1035</v>
      </c>
      <c r="I36" s="11" t="n">
        <v>1043</v>
      </c>
      <c r="J36" s="11" t="n">
        <v>1050</v>
      </c>
    </row>
    <row r="37" customFormat="false" ht="15" hidden="false" customHeight="false" outlineLevel="0" collapsed="false">
      <c r="B37" s="5" t="s">
        <v>63</v>
      </c>
      <c r="C37" s="21" t="n">
        <v>0.42</v>
      </c>
      <c r="D37" s="21" t="n">
        <v>0.415</v>
      </c>
      <c r="E37" s="21" t="n">
        <v>0.41</v>
      </c>
      <c r="F37" s="14" t="n">
        <v>0.41</v>
      </c>
      <c r="G37" s="14" t="n">
        <v>0.41</v>
      </c>
      <c r="H37" s="14" t="n">
        <v>0.41</v>
      </c>
      <c r="I37" s="14" t="n">
        <v>0.41</v>
      </c>
      <c r="J37" s="14" t="n">
        <v>0.41</v>
      </c>
    </row>
    <row r="38" customFormat="false" ht="15" hidden="false" customHeight="false" outlineLevel="0" collapsed="false">
      <c r="B38" s="5" t="s">
        <v>64</v>
      </c>
      <c r="C38" s="21" t="n">
        <v>0.17</v>
      </c>
      <c r="D38" s="21" t="n">
        <v>0.175</v>
      </c>
      <c r="E38" s="21" t="n">
        <v>0.18</v>
      </c>
      <c r="F38" s="14" t="n">
        <v>0.18</v>
      </c>
      <c r="G38" s="14" t="n">
        <v>0.18</v>
      </c>
      <c r="H38" s="14" t="n">
        <v>0.18</v>
      </c>
      <c r="I38" s="14" t="n">
        <v>0.18</v>
      </c>
      <c r="J38" s="14" t="n">
        <v>0.18</v>
      </c>
    </row>
    <row r="39" customFormat="false" ht="15" hidden="false" customHeight="false" outlineLevel="0" collapsed="false">
      <c r="B39" s="5" t="s">
        <v>65</v>
      </c>
      <c r="C39" s="21" t="n">
        <v>0.082</v>
      </c>
      <c r="D39" s="21" t="n">
        <v>0.081</v>
      </c>
      <c r="E39" s="21" t="n">
        <v>0.08</v>
      </c>
      <c r="F39" s="14" t="n">
        <v>0.08</v>
      </c>
      <c r="G39" s="14" t="n">
        <v>0.08</v>
      </c>
      <c r="H39" s="14" t="n">
        <v>0.08</v>
      </c>
      <c r="I39" s="14" t="n">
        <v>0.08</v>
      </c>
      <c r="J39" s="14" t="n">
        <v>0.08</v>
      </c>
    </row>
    <row r="41" customFormat="false" ht="15" hidden="false" customHeight="false" outlineLevel="0" collapsed="false">
      <c r="B41" s="5" t="s">
        <v>66</v>
      </c>
      <c r="F41" s="11" t="n">
        <v>170</v>
      </c>
      <c r="G41" s="11" t="n">
        <v>170</v>
      </c>
      <c r="H41" s="11" t="n">
        <v>170</v>
      </c>
      <c r="I41" s="11" t="n">
        <v>170</v>
      </c>
      <c r="J41" s="11" t="n">
        <v>170</v>
      </c>
    </row>
    <row r="43" customFormat="false" ht="15" hidden="false" customHeight="false" outlineLevel="0" collapsed="false">
      <c r="B43" s="7" t="s">
        <v>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36"/>
    <col collapsed="false" customWidth="true" hidden="false" outlineLevel="0" max="10" min="3" style="0" width="12"/>
  </cols>
  <sheetData>
    <row r="1" customFormat="false" ht="19.4" hidden="false" customHeight="false" outlineLevel="0" collapsed="false">
      <c r="A1" s="8" t="s">
        <v>68</v>
      </c>
    </row>
    <row r="2" customFormat="false" ht="15" hidden="false" customHeight="false" outlineLevel="0" collapsed="false">
      <c r="A2" s="7" t="s">
        <v>69</v>
      </c>
      <c r="H2" s="4" t="s">
        <v>26</v>
      </c>
    </row>
    <row r="4" customFormat="false" ht="15" hidden="false" customHeight="false" outlineLevel="0" collapsed="false">
      <c r="C4" s="18" t="s">
        <v>46</v>
      </c>
      <c r="D4" s="18" t="s">
        <v>47</v>
      </c>
      <c r="E4" s="18" t="s">
        <v>48</v>
      </c>
      <c r="F4" s="18" t="s">
        <v>49</v>
      </c>
      <c r="G4" s="18" t="s">
        <v>50</v>
      </c>
      <c r="H4" s="18" t="s">
        <v>51</v>
      </c>
      <c r="I4" s="18" t="s">
        <v>52</v>
      </c>
      <c r="J4" s="18" t="s">
        <v>53</v>
      </c>
    </row>
    <row r="5" customFormat="false" ht="15" hidden="false" customHeight="false" outlineLevel="0" collapsed="false">
      <c r="C5" s="10" t="s">
        <v>54</v>
      </c>
      <c r="D5" s="10" t="s">
        <v>54</v>
      </c>
      <c r="E5" s="10" t="s">
        <v>54</v>
      </c>
      <c r="F5" s="10" t="s">
        <v>55</v>
      </c>
      <c r="G5" s="10" t="s">
        <v>55</v>
      </c>
      <c r="H5" s="10" t="s">
        <v>55</v>
      </c>
      <c r="I5" s="10" t="s">
        <v>55</v>
      </c>
      <c r="J5" s="10" t="s">
        <v>55</v>
      </c>
    </row>
    <row r="7" customFormat="false" ht="15" hidden="false" customHeight="false" outlineLevel="0" collapsed="false">
      <c r="B7" s="6" t="s">
        <v>70</v>
      </c>
      <c r="C7" s="19" t="n">
        <v>3073</v>
      </c>
      <c r="D7" s="19" t="n">
        <v>3483</v>
      </c>
      <c r="E7" s="19" t="n">
        <v>3942</v>
      </c>
      <c r="F7" s="20" t="n">
        <f aca="false">ROUND(inp!F30*inp!F33*inp!F34/10^6,0)</f>
        <v>4181</v>
      </c>
      <c r="G7" s="20" t="n">
        <f aca="false">ROUND(inp!G30*inp!G33*inp!G34/10^6,0)</f>
        <v>4392</v>
      </c>
      <c r="H7" s="20" t="n">
        <f aca="false">ROUND(inp!H30*inp!H33*inp!H34/10^6,0)</f>
        <v>4572</v>
      </c>
      <c r="I7" s="20" t="n">
        <f aca="false">ROUND(inp!I30*inp!I33*inp!I34/10^6,0)</f>
        <v>4744</v>
      </c>
      <c r="J7" s="20" t="n">
        <f aca="false">ROUND(inp!J30*inp!J33*inp!J34/10^6,0)</f>
        <v>4880</v>
      </c>
    </row>
    <row r="8" customFormat="false" ht="15" hidden="false" customHeight="false" outlineLevel="0" collapsed="false">
      <c r="B8" s="5" t="s">
        <v>71</v>
      </c>
      <c r="C8" s="19" t="n">
        <v>3701</v>
      </c>
      <c r="D8" s="19" t="n">
        <v>3959</v>
      </c>
      <c r="E8" s="19" t="n">
        <v>4192</v>
      </c>
      <c r="F8" s="20" t="n">
        <f aca="false">ROUND(inp!F35*inp!F36/1000,0)</f>
        <v>4284</v>
      </c>
      <c r="G8" s="20" t="n">
        <f aca="false">ROUND(inp!G35*inp!G36/1000,0)</f>
        <v>4359</v>
      </c>
      <c r="H8" s="20" t="n">
        <f aca="false">ROUND(inp!H35*inp!H36/1000,0)</f>
        <v>4430</v>
      </c>
      <c r="I8" s="20" t="n">
        <f aca="false">ROUND(inp!I35*inp!I36/1000,0)</f>
        <v>4506</v>
      </c>
      <c r="J8" s="20" t="n">
        <f aca="false">ROUND(inp!J35*inp!J36/1000,0)</f>
        <v>4568</v>
      </c>
    </row>
    <row r="9" customFormat="false" ht="15" hidden="false" customHeight="false" outlineLevel="0" collapsed="false">
      <c r="B9" s="5" t="s">
        <v>72</v>
      </c>
      <c r="C9" s="19" t="n">
        <v>1014</v>
      </c>
      <c r="D9" s="19" t="n">
        <v>1058</v>
      </c>
      <c r="E9" s="19" t="n">
        <v>1106</v>
      </c>
      <c r="F9" s="11" t="n">
        <v>1130</v>
      </c>
      <c r="G9" s="11" t="n">
        <v>1155</v>
      </c>
      <c r="H9" s="11" t="n">
        <v>1180</v>
      </c>
      <c r="I9" s="11" t="n">
        <v>1205</v>
      </c>
      <c r="J9" s="11" t="n">
        <v>1230</v>
      </c>
    </row>
    <row r="10" customFormat="false" ht="15" hidden="false" customHeight="false" outlineLevel="0" collapsed="false">
      <c r="B10" s="4" t="s">
        <v>73</v>
      </c>
      <c r="C10" s="24" t="n">
        <f aca="false">SUM(C7:C9)</f>
        <v>7788</v>
      </c>
      <c r="D10" s="24" t="n">
        <f aca="false">SUM(D7:D9)</f>
        <v>8500</v>
      </c>
      <c r="E10" s="24" t="n">
        <f aca="false">SUM(E7:E9)</f>
        <v>9240</v>
      </c>
      <c r="F10" s="25" t="n">
        <f aca="false">SUM(F7:F9)</f>
        <v>9595</v>
      </c>
      <c r="G10" s="25" t="n">
        <f aca="false">SUM(G7:G9)</f>
        <v>9906</v>
      </c>
      <c r="H10" s="25" t="n">
        <f aca="false">SUM(H7:H9)</f>
        <v>10182</v>
      </c>
      <c r="I10" s="25" t="n">
        <f aca="false">SUM(I7:I9)</f>
        <v>10455</v>
      </c>
      <c r="J10" s="25" t="n">
        <f aca="false">SUM(J7:J9)</f>
        <v>10678</v>
      </c>
    </row>
    <row r="12" customFormat="false" ht="15" hidden="false" customHeight="false" outlineLevel="0" collapsed="false">
      <c r="B12" s="5" t="s">
        <v>74</v>
      </c>
      <c r="C12" s="19" t="n">
        <v>3271</v>
      </c>
      <c r="D12" s="19" t="n">
        <v>3528</v>
      </c>
      <c r="E12" s="19" t="n">
        <v>3788</v>
      </c>
      <c r="F12" s="20" t="n">
        <f aca="false">ROUND(F10*inp!F37,0)</f>
        <v>3934</v>
      </c>
      <c r="G12" s="20" t="n">
        <f aca="false">ROUND(G10*inp!G37,0)</f>
        <v>4061</v>
      </c>
      <c r="H12" s="20" t="n">
        <f aca="false">ROUND(H10*inp!H37,0)</f>
        <v>4175</v>
      </c>
      <c r="I12" s="20" t="n">
        <f aca="false">ROUND(I10*inp!I37,0)</f>
        <v>4287</v>
      </c>
      <c r="J12" s="20" t="n">
        <f aca="false">ROUND(J10*inp!J37,0)</f>
        <v>4378</v>
      </c>
    </row>
    <row r="13" customFormat="false" ht="15" hidden="false" customHeight="false" outlineLevel="0" collapsed="false">
      <c r="B13" s="4" t="s">
        <v>75</v>
      </c>
      <c r="C13" s="24" t="n">
        <f aca="false">C10-C12</f>
        <v>4517</v>
      </c>
      <c r="D13" s="24" t="n">
        <f aca="false">D10-D12</f>
        <v>4972</v>
      </c>
      <c r="E13" s="24" t="n">
        <f aca="false">E10-E12</f>
        <v>5452</v>
      </c>
      <c r="F13" s="25" t="n">
        <f aca="false">F10-F12</f>
        <v>5661</v>
      </c>
      <c r="G13" s="25" t="n">
        <f aca="false">G10-G12</f>
        <v>5845</v>
      </c>
      <c r="H13" s="25" t="n">
        <f aca="false">H10-H12</f>
        <v>6007</v>
      </c>
      <c r="I13" s="25" t="n">
        <f aca="false">I10-I12</f>
        <v>6168</v>
      </c>
      <c r="J13" s="25" t="n">
        <f aca="false">J10-J12</f>
        <v>6300</v>
      </c>
    </row>
    <row r="14" customFormat="false" ht="15" hidden="false" customHeight="false" outlineLevel="0" collapsed="false">
      <c r="B14" s="5" t="s">
        <v>76</v>
      </c>
      <c r="C14" s="26" t="n">
        <f aca="false">C13/C10</f>
        <v>0.579994863893169</v>
      </c>
      <c r="D14" s="26" t="n">
        <f aca="false">D13/D10</f>
        <v>0.584941176470588</v>
      </c>
      <c r="E14" s="26" t="n">
        <f aca="false">E13/E10</f>
        <v>0.59004329004329</v>
      </c>
      <c r="F14" s="27" t="n">
        <f aca="false">F13/F10</f>
        <v>0.58999478895258</v>
      </c>
      <c r="G14" s="27" t="n">
        <f aca="false">G13/G10</f>
        <v>0.590046436503129</v>
      </c>
      <c r="H14" s="27" t="n">
        <f aca="false">H13/H10</f>
        <v>0.589962679237871</v>
      </c>
      <c r="I14" s="27" t="n">
        <f aca="false">I13/I10</f>
        <v>0.589956958393113</v>
      </c>
      <c r="J14" s="27" t="n">
        <f aca="false">J13/J10</f>
        <v>0.589998126990073</v>
      </c>
    </row>
    <row r="16" customFormat="false" ht="15" hidden="false" customHeight="false" outlineLevel="0" collapsed="false">
      <c r="B16" s="5" t="s">
        <v>77</v>
      </c>
      <c r="C16" s="19" t="n">
        <v>1324</v>
      </c>
      <c r="D16" s="19" t="n">
        <v>1488</v>
      </c>
      <c r="E16" s="19" t="n">
        <v>1663</v>
      </c>
      <c r="F16" s="20" t="n">
        <f aca="false">ROUND(F10*inp!F38,0)</f>
        <v>1727</v>
      </c>
      <c r="G16" s="20" t="n">
        <f aca="false">ROUND(G10*inp!G38,0)</f>
        <v>1783</v>
      </c>
      <c r="H16" s="20" t="n">
        <f aca="false">ROUND(H10*inp!H38,0)</f>
        <v>1833</v>
      </c>
      <c r="I16" s="20" t="n">
        <f aca="false">ROUND(I10*inp!I38,0)</f>
        <v>1882</v>
      </c>
      <c r="J16" s="20" t="n">
        <f aca="false">ROUND(J10*inp!J38,0)</f>
        <v>1922</v>
      </c>
    </row>
    <row r="17" customFormat="false" ht="15" hidden="false" customHeight="false" outlineLevel="0" collapsed="false">
      <c r="B17" s="5" t="s">
        <v>78</v>
      </c>
      <c r="C17" s="19" t="n">
        <v>639</v>
      </c>
      <c r="D17" s="19" t="n">
        <v>689</v>
      </c>
      <c r="E17" s="19" t="n">
        <v>739</v>
      </c>
      <c r="F17" s="20" t="n">
        <f aca="false">ROUND(F10*inp!F39,0)</f>
        <v>768</v>
      </c>
      <c r="G17" s="20" t="n">
        <f aca="false">ROUND(G10*inp!G39,0)</f>
        <v>792</v>
      </c>
      <c r="H17" s="20" t="n">
        <f aca="false">ROUND(H10*inp!H39,0)</f>
        <v>815</v>
      </c>
      <c r="I17" s="20" t="n">
        <f aca="false">ROUND(I10*inp!I39,0)</f>
        <v>836</v>
      </c>
      <c r="J17" s="20" t="n">
        <f aca="false">ROUND(J10*inp!J39,0)</f>
        <v>854</v>
      </c>
    </row>
    <row r="18" customFormat="false" ht="15" hidden="false" customHeight="false" outlineLevel="0" collapsed="false">
      <c r="B18" s="5" t="s">
        <v>79</v>
      </c>
      <c r="C18" s="19" t="n">
        <v>870</v>
      </c>
      <c r="D18" s="19" t="n">
        <v>905</v>
      </c>
      <c r="E18" s="19" t="n">
        <v>950</v>
      </c>
      <c r="F18" s="11" t="n">
        <v>975</v>
      </c>
      <c r="G18" s="11" t="n">
        <v>1000</v>
      </c>
      <c r="H18" s="11" t="n">
        <v>1025</v>
      </c>
      <c r="I18" s="11" t="n">
        <v>1050</v>
      </c>
      <c r="J18" s="11" t="n">
        <v>1075</v>
      </c>
    </row>
    <row r="19" customFormat="false" ht="15" hidden="false" customHeight="false" outlineLevel="0" collapsed="false">
      <c r="B19" s="5" t="s">
        <v>80</v>
      </c>
      <c r="C19" s="19" t="n">
        <v>1050</v>
      </c>
      <c r="D19" s="19" t="n">
        <v>1096</v>
      </c>
      <c r="E19" s="19" t="n">
        <v>1140</v>
      </c>
      <c r="F19" s="11" t="n">
        <v>1165</v>
      </c>
      <c r="G19" s="11" t="n">
        <v>1190</v>
      </c>
      <c r="H19" s="11" t="n">
        <v>1215</v>
      </c>
      <c r="I19" s="11" t="n">
        <v>1240</v>
      </c>
      <c r="J19" s="11" t="n">
        <v>1265</v>
      </c>
    </row>
    <row r="20" customFormat="false" ht="15" hidden="false" customHeight="false" outlineLevel="0" collapsed="false">
      <c r="B20" s="5" t="s">
        <v>81</v>
      </c>
      <c r="C20" s="28" t="n">
        <f aca="false">SUM(C16:C19)</f>
        <v>3883</v>
      </c>
      <c r="D20" s="28" t="n">
        <f aca="false">SUM(D16:D19)</f>
        <v>4178</v>
      </c>
      <c r="E20" s="28" t="n">
        <f aca="false">SUM(E16:E19)</f>
        <v>4492</v>
      </c>
      <c r="F20" s="20" t="n">
        <f aca="false">SUM(F16:F19)</f>
        <v>4635</v>
      </c>
      <c r="G20" s="20" t="n">
        <f aca="false">SUM(G16:G19)</f>
        <v>4765</v>
      </c>
      <c r="H20" s="20" t="n">
        <f aca="false">SUM(H16:H19)</f>
        <v>4888</v>
      </c>
      <c r="I20" s="20" t="n">
        <f aca="false">SUM(I16:I19)</f>
        <v>5008</v>
      </c>
      <c r="J20" s="20" t="n">
        <f aca="false">SUM(J16:J19)</f>
        <v>5116</v>
      </c>
    </row>
    <row r="21" customFormat="false" ht="15" hidden="false" customHeight="false" outlineLevel="0" collapsed="false">
      <c r="B21" s="4" t="s">
        <v>82</v>
      </c>
      <c r="C21" s="24" t="n">
        <f aca="false">C13-C20</f>
        <v>634</v>
      </c>
      <c r="D21" s="24" t="n">
        <f aca="false">D13-D20</f>
        <v>794</v>
      </c>
      <c r="E21" s="24" t="n">
        <f aca="false">E13-E20</f>
        <v>960</v>
      </c>
      <c r="F21" s="25" t="n">
        <f aca="false">F13-F20</f>
        <v>1026</v>
      </c>
      <c r="G21" s="25" t="n">
        <f aca="false">G13-G20</f>
        <v>1080</v>
      </c>
      <c r="H21" s="25" t="n">
        <f aca="false">H13-H20</f>
        <v>1119</v>
      </c>
      <c r="I21" s="25" t="n">
        <f aca="false">I13-I20</f>
        <v>1160</v>
      </c>
      <c r="J21" s="25" t="n">
        <f aca="false">J13-J20</f>
        <v>1184</v>
      </c>
    </row>
    <row r="22" customFormat="false" ht="15" hidden="false" customHeight="false" outlineLevel="0" collapsed="false">
      <c r="B22" s="5" t="s">
        <v>83</v>
      </c>
      <c r="C22" s="26" t="n">
        <f aca="false">C21/C10</f>
        <v>0.0814072932717001</v>
      </c>
      <c r="D22" s="26" t="n">
        <f aca="false">D21/D10</f>
        <v>0.0934117647058824</v>
      </c>
      <c r="E22" s="26" t="n">
        <f aca="false">E21/E10</f>
        <v>0.103896103896104</v>
      </c>
      <c r="F22" s="27" t="n">
        <f aca="false">F21/F10</f>
        <v>0.106930693069307</v>
      </c>
      <c r="G22" s="27" t="n">
        <f aca="false">G21/G10</f>
        <v>0.109024833434282</v>
      </c>
      <c r="H22" s="27" t="n">
        <f aca="false">H21/H10</f>
        <v>0.109899823217443</v>
      </c>
      <c r="I22" s="27" t="n">
        <f aca="false">I21/I10</f>
        <v>0.110951697752272</v>
      </c>
      <c r="J22" s="27" t="n">
        <f aca="false">J21/J10</f>
        <v>0.110882187675595</v>
      </c>
    </row>
    <row r="24" customFormat="false" ht="15" hidden="false" customHeight="false" outlineLevel="0" collapsed="false">
      <c r="B24" s="5" t="s">
        <v>84</v>
      </c>
      <c r="C24" s="19" t="n">
        <v>150</v>
      </c>
      <c r="D24" s="19" t="n">
        <v>155</v>
      </c>
      <c r="E24" s="19" t="n">
        <v>160</v>
      </c>
      <c r="F24" s="11" t="n">
        <v>165</v>
      </c>
      <c r="G24" s="11" t="n">
        <v>168</v>
      </c>
      <c r="H24" s="11" t="n">
        <v>171</v>
      </c>
      <c r="I24" s="11" t="n">
        <v>174</v>
      </c>
      <c r="J24" s="11" t="n">
        <v>177</v>
      </c>
    </row>
    <row r="25" customFormat="false" ht="15" hidden="false" customHeight="false" outlineLevel="0" collapsed="false">
      <c r="B25" s="17" t="s">
        <v>85</v>
      </c>
      <c r="C25" s="24" t="n">
        <f aca="false">C21+C24</f>
        <v>784</v>
      </c>
      <c r="D25" s="24" t="n">
        <f aca="false">D21+D24</f>
        <v>949</v>
      </c>
      <c r="E25" s="24" t="n">
        <f aca="false">E21+E24</f>
        <v>1120</v>
      </c>
      <c r="F25" s="25" t="n">
        <f aca="false">F21+F24</f>
        <v>1191</v>
      </c>
      <c r="G25" s="25" t="n">
        <f aca="false">G21+G24</f>
        <v>1248</v>
      </c>
      <c r="H25" s="25" t="n">
        <f aca="false">H21+H24</f>
        <v>1290</v>
      </c>
      <c r="I25" s="25" t="n">
        <f aca="false">I21+I24</f>
        <v>1334</v>
      </c>
      <c r="J25" s="25" t="n">
        <f aca="false">J21+J24</f>
        <v>1361</v>
      </c>
    </row>
    <row r="26" customFormat="false" ht="15" hidden="false" customHeight="false" outlineLevel="0" collapsed="false">
      <c r="B26" s="6" t="s">
        <v>86</v>
      </c>
      <c r="C26" s="26" t="n">
        <f aca="false">C25/C10</f>
        <v>0.100667693888033</v>
      </c>
      <c r="D26" s="26" t="n">
        <f aca="false">D25/D10</f>
        <v>0.111647058823529</v>
      </c>
      <c r="E26" s="26" t="n">
        <f aca="false">E25/E10</f>
        <v>0.121212121212121</v>
      </c>
      <c r="F26" s="27" t="n">
        <f aca="false">F25/F10</f>
        <v>0.124127149557061</v>
      </c>
      <c r="G26" s="27" t="n">
        <f aca="false">G25/G10</f>
        <v>0.125984251968504</v>
      </c>
      <c r="H26" s="27" t="n">
        <f aca="false">H25/H10</f>
        <v>0.126694166175604</v>
      </c>
      <c r="I26" s="27" t="n">
        <f aca="false">I25/I10</f>
        <v>0.127594452415112</v>
      </c>
      <c r="J26" s="27" t="n">
        <f aca="false">J25/J10</f>
        <v>0.127458325529125</v>
      </c>
    </row>
    <row r="28" customFormat="false" ht="15" hidden="false" customHeight="false" outlineLevel="0" collapsed="false">
      <c r="B28" s="5" t="s">
        <v>87</v>
      </c>
      <c r="C28" s="19" t="n">
        <v>28</v>
      </c>
      <c r="D28" s="19" t="n">
        <v>25</v>
      </c>
      <c r="E28" s="19" t="n">
        <v>22</v>
      </c>
      <c r="F28" s="20" t="n">
        <f aca="false">debt!F12</f>
        <v>105</v>
      </c>
      <c r="G28" s="20" t="n">
        <f aca="false">debt!G12</f>
        <v>94</v>
      </c>
      <c r="H28" s="20" t="n">
        <f aca="false">debt!H12</f>
        <v>83</v>
      </c>
      <c r="I28" s="20" t="n">
        <f aca="false">debt!I12</f>
        <v>72</v>
      </c>
      <c r="J28" s="20" t="n">
        <f aca="false">debt!J12</f>
        <v>61</v>
      </c>
    </row>
    <row r="29" customFormat="false" ht="15" hidden="false" customHeight="false" outlineLevel="0" collapsed="false">
      <c r="B29" s="5" t="s">
        <v>88</v>
      </c>
      <c r="C29" s="19" t="n">
        <v>6</v>
      </c>
      <c r="D29" s="19" t="n">
        <v>7</v>
      </c>
      <c r="E29" s="19" t="n">
        <v>8</v>
      </c>
      <c r="F29" s="11" t="n">
        <v>8</v>
      </c>
      <c r="G29" s="11" t="n">
        <v>8</v>
      </c>
      <c r="H29" s="11" t="n">
        <v>8</v>
      </c>
      <c r="I29" s="11" t="n">
        <v>8</v>
      </c>
      <c r="J29" s="11" t="n">
        <v>8</v>
      </c>
    </row>
    <row r="30" customFormat="false" ht="15" hidden="false" customHeight="false" outlineLevel="0" collapsed="false">
      <c r="B30" s="4" t="s">
        <v>89</v>
      </c>
      <c r="C30" s="24" t="n">
        <f aca="false">C21-C28+C29</f>
        <v>612</v>
      </c>
      <c r="D30" s="24" t="n">
        <f aca="false">D21-D28+D29</f>
        <v>776</v>
      </c>
      <c r="E30" s="24" t="n">
        <f aca="false">E21-E28+E29</f>
        <v>946</v>
      </c>
      <c r="F30" s="25" t="n">
        <f aca="false">F21-F28+F29</f>
        <v>929</v>
      </c>
      <c r="G30" s="25" t="n">
        <f aca="false">G21-G28+G29</f>
        <v>994</v>
      </c>
      <c r="H30" s="25" t="n">
        <f aca="false">H21-H28+H29</f>
        <v>1044</v>
      </c>
      <c r="I30" s="25" t="n">
        <f aca="false">I21-I28+I29</f>
        <v>1096</v>
      </c>
      <c r="J30" s="25" t="n">
        <f aca="false">J21-J28+J29</f>
        <v>1131</v>
      </c>
    </row>
    <row r="31" customFormat="false" ht="15" hidden="false" customHeight="false" outlineLevel="0" collapsed="false">
      <c r="B31" s="5" t="s">
        <v>90</v>
      </c>
      <c r="C31" s="28" t="n">
        <f aca="false">ROUND(C30*0.305,0)</f>
        <v>187</v>
      </c>
      <c r="D31" s="28" t="n">
        <f aca="false">ROUND(D30*0.305,0)</f>
        <v>237</v>
      </c>
      <c r="E31" s="28" t="n">
        <f aca="false">ROUND(E30*0.305,0)</f>
        <v>289</v>
      </c>
      <c r="F31" s="20" t="n">
        <f aca="false">ROUND(F30*0.305,0)</f>
        <v>283</v>
      </c>
      <c r="G31" s="20" t="n">
        <f aca="false">ROUND(G30*0.305,0)</f>
        <v>303</v>
      </c>
      <c r="H31" s="20" t="n">
        <f aca="false">ROUND(H30*0.305,0)</f>
        <v>318</v>
      </c>
      <c r="I31" s="20" t="n">
        <f aca="false">ROUND(I30*0.305,0)</f>
        <v>334</v>
      </c>
      <c r="J31" s="20" t="n">
        <f aca="false">ROUND(J30*0.305,0)</f>
        <v>345</v>
      </c>
    </row>
    <row r="32" customFormat="false" ht="15" hidden="false" customHeight="false" outlineLevel="0" collapsed="false">
      <c r="B32" s="4" t="s">
        <v>91</v>
      </c>
      <c r="C32" s="24" t="n">
        <f aca="false">C30-C31</f>
        <v>425</v>
      </c>
      <c r="D32" s="24" t="n">
        <f aca="false">D30-D31</f>
        <v>539</v>
      </c>
      <c r="E32" s="24" t="n">
        <f aca="false">E30-E31</f>
        <v>657</v>
      </c>
      <c r="F32" s="25" t="n">
        <f aca="false">F30-F31</f>
        <v>646</v>
      </c>
      <c r="G32" s="25" t="n">
        <f aca="false">G30-G31</f>
        <v>691</v>
      </c>
      <c r="H32" s="25" t="n">
        <f aca="false">H30-H31</f>
        <v>726</v>
      </c>
      <c r="I32" s="25" t="n">
        <f aca="false">I30-I31</f>
        <v>762</v>
      </c>
      <c r="J32" s="25" t="n">
        <f aca="false">J30-J31</f>
        <v>786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36"/>
    <col collapsed="false" customWidth="true" hidden="false" outlineLevel="0" max="10" min="3" style="0" width="12"/>
  </cols>
  <sheetData>
    <row r="1" customFormat="false" ht="19.4" hidden="false" customHeight="false" outlineLevel="0" collapsed="false">
      <c r="A1" s="8" t="s">
        <v>92</v>
      </c>
    </row>
    <row r="2" customFormat="false" ht="15" hidden="false" customHeight="false" outlineLevel="0" collapsed="false">
      <c r="A2" s="7" t="s">
        <v>69</v>
      </c>
      <c r="H2" s="4" t="s">
        <v>26</v>
      </c>
    </row>
    <row r="4" customFormat="false" ht="15" hidden="false" customHeight="false" outlineLevel="0" collapsed="false">
      <c r="C4" s="18" t="s">
        <v>46</v>
      </c>
      <c r="D4" s="18" t="s">
        <v>47</v>
      </c>
      <c r="E4" s="18" t="s">
        <v>48</v>
      </c>
      <c r="F4" s="18" t="s">
        <v>49</v>
      </c>
      <c r="G4" s="18" t="s">
        <v>50</v>
      </c>
      <c r="H4" s="18" t="s">
        <v>51</v>
      </c>
      <c r="I4" s="18" t="s">
        <v>52</v>
      </c>
      <c r="J4" s="18" t="s">
        <v>53</v>
      </c>
    </row>
    <row r="5" customFormat="false" ht="15" hidden="false" customHeight="false" outlineLevel="0" collapsed="false">
      <c r="C5" s="10" t="s">
        <v>54</v>
      </c>
      <c r="D5" s="10" t="s">
        <v>54</v>
      </c>
      <c r="E5" s="10" t="s">
        <v>54</v>
      </c>
      <c r="F5" s="10" t="s">
        <v>55</v>
      </c>
      <c r="G5" s="10" t="s">
        <v>55</v>
      </c>
      <c r="H5" s="10" t="s">
        <v>55</v>
      </c>
      <c r="I5" s="10" t="s">
        <v>55</v>
      </c>
      <c r="J5" s="10" t="s">
        <v>55</v>
      </c>
    </row>
    <row r="7" customFormat="false" ht="15" hidden="false" customHeight="false" outlineLevel="0" collapsed="false">
      <c r="B7" s="5" t="s">
        <v>93</v>
      </c>
      <c r="C7" s="19" t="n">
        <v>380</v>
      </c>
      <c r="D7" s="19" t="n">
        <v>500</v>
      </c>
      <c r="E7" s="19" t="n">
        <v>620</v>
      </c>
      <c r="F7" s="20" t="n">
        <f aca="false">CF!F21</f>
        <v>351</v>
      </c>
      <c r="G7" s="20" t="n">
        <f aca="false">CF!G21</f>
        <v>496</v>
      </c>
      <c r="H7" s="20" t="n">
        <f aca="false">CF!H21</f>
        <v>687</v>
      </c>
      <c r="I7" s="20" t="n">
        <f aca="false">CF!I21</f>
        <v>918</v>
      </c>
      <c r="J7" s="20" t="n">
        <f aca="false">CF!J21</f>
        <v>1190</v>
      </c>
    </row>
    <row r="8" customFormat="false" ht="15" hidden="false" customHeight="false" outlineLevel="0" collapsed="false">
      <c r="B8" s="5" t="s">
        <v>94</v>
      </c>
      <c r="C8" s="19" t="n">
        <v>960</v>
      </c>
      <c r="D8" s="19" t="n">
        <v>1048</v>
      </c>
      <c r="E8" s="19" t="n">
        <v>1139</v>
      </c>
      <c r="F8" s="20" t="n">
        <f aca="false">ROUND(PL!F10*45/365,0)</f>
        <v>1183</v>
      </c>
      <c r="G8" s="20" t="n">
        <f aca="false">ROUND(PL!G10*45/365,0)</f>
        <v>1221</v>
      </c>
      <c r="H8" s="20" t="n">
        <f aca="false">ROUND(PL!H10*45/365,0)</f>
        <v>1255</v>
      </c>
      <c r="I8" s="20" t="n">
        <f aca="false">ROUND(PL!I10*45/365,0)</f>
        <v>1289</v>
      </c>
      <c r="J8" s="20" t="n">
        <f aca="false">ROUND(PL!J10*45/365,0)</f>
        <v>1316</v>
      </c>
    </row>
    <row r="9" customFormat="false" ht="15" hidden="false" customHeight="false" outlineLevel="0" collapsed="false">
      <c r="B9" s="5" t="s">
        <v>95</v>
      </c>
      <c r="C9" s="19" t="n">
        <v>1050</v>
      </c>
      <c r="D9" s="19" t="n">
        <v>1140</v>
      </c>
      <c r="E9" s="19" t="n">
        <v>1230</v>
      </c>
      <c r="F9" s="20" t="n">
        <f aca="false">ROUND(PL!F12*118/365,0)</f>
        <v>1272</v>
      </c>
      <c r="G9" s="20" t="n">
        <f aca="false">ROUND(PL!G12*118/365,0)</f>
        <v>1313</v>
      </c>
      <c r="H9" s="20" t="n">
        <f aca="false">ROUND(PL!H12*118/365,0)</f>
        <v>1350</v>
      </c>
      <c r="I9" s="20" t="n">
        <f aca="false">ROUND(PL!I12*118/365,0)</f>
        <v>1386</v>
      </c>
      <c r="J9" s="20" t="n">
        <f aca="false">ROUND(PL!J12*118/365,0)</f>
        <v>1415</v>
      </c>
    </row>
    <row r="10" customFormat="false" ht="15" hidden="false" customHeight="false" outlineLevel="0" collapsed="false">
      <c r="B10" s="5" t="s">
        <v>96</v>
      </c>
      <c r="C10" s="19" t="n">
        <v>170</v>
      </c>
      <c r="D10" s="19" t="n">
        <v>185</v>
      </c>
      <c r="E10" s="19" t="n">
        <v>200</v>
      </c>
      <c r="F10" s="11" t="n">
        <v>205</v>
      </c>
      <c r="G10" s="11" t="n">
        <v>210</v>
      </c>
      <c r="H10" s="11" t="n">
        <v>215</v>
      </c>
      <c r="I10" s="11" t="n">
        <v>220</v>
      </c>
      <c r="J10" s="11" t="n">
        <v>225</v>
      </c>
    </row>
    <row r="11" customFormat="false" ht="15" hidden="false" customHeight="false" outlineLevel="0" collapsed="false">
      <c r="B11" s="5" t="s">
        <v>97</v>
      </c>
      <c r="C11" s="19" t="n">
        <v>640</v>
      </c>
      <c r="D11" s="19" t="n">
        <v>660</v>
      </c>
      <c r="E11" s="19" t="n">
        <v>680</v>
      </c>
      <c r="F11" s="20" t="n">
        <f aca="false">E11+inp!F41-PL!F24</f>
        <v>685</v>
      </c>
      <c r="G11" s="20" t="n">
        <f aca="false">F11+inp!G41-PL!G24</f>
        <v>687</v>
      </c>
      <c r="H11" s="20" t="n">
        <f aca="false">G11+inp!H41-PL!H24</f>
        <v>686</v>
      </c>
      <c r="I11" s="20" t="n">
        <f aca="false">H11+inp!I41-PL!I24</f>
        <v>682</v>
      </c>
      <c r="J11" s="20" t="n">
        <f aca="false">I11+inp!J41-PL!J24</f>
        <v>675</v>
      </c>
    </row>
    <row r="12" customFormat="false" ht="15" hidden="false" customHeight="false" outlineLevel="0" collapsed="false">
      <c r="B12" s="5" t="s">
        <v>98</v>
      </c>
      <c r="C12" s="19" t="n">
        <v>0</v>
      </c>
      <c r="D12" s="19" t="n">
        <v>0</v>
      </c>
      <c r="E12" s="19" t="n">
        <v>0</v>
      </c>
      <c r="F12" s="11" t="n">
        <v>6100</v>
      </c>
      <c r="G12" s="11" t="n">
        <v>6100</v>
      </c>
      <c r="H12" s="11" t="n">
        <v>6100</v>
      </c>
      <c r="I12" s="11" t="n">
        <v>6100</v>
      </c>
      <c r="J12" s="11" t="n">
        <v>6100</v>
      </c>
    </row>
    <row r="13" customFormat="false" ht="15" hidden="false" customHeight="false" outlineLevel="0" collapsed="false">
      <c r="B13" s="5" t="s">
        <v>99</v>
      </c>
      <c r="C13" s="19" t="n">
        <v>220</v>
      </c>
      <c r="D13" s="19" t="n">
        <v>235</v>
      </c>
      <c r="E13" s="19" t="n">
        <v>250</v>
      </c>
      <c r="F13" s="11" t="n">
        <v>715</v>
      </c>
      <c r="G13" s="11" t="n">
        <v>715</v>
      </c>
      <c r="H13" s="11" t="n">
        <v>715</v>
      </c>
      <c r="I13" s="11" t="n">
        <v>715</v>
      </c>
      <c r="J13" s="11" t="n">
        <v>715</v>
      </c>
    </row>
    <row r="14" customFormat="false" ht="15" hidden="false" customHeight="false" outlineLevel="0" collapsed="false">
      <c r="B14" s="4" t="s">
        <v>100</v>
      </c>
      <c r="C14" s="28" t="n">
        <f aca="false">SUM(C7:C13)</f>
        <v>3420</v>
      </c>
      <c r="D14" s="28" t="n">
        <f aca="false">SUM(D7:D13)</f>
        <v>3768</v>
      </c>
      <c r="E14" s="28" t="n">
        <f aca="false">SUM(E7:E13)</f>
        <v>4119</v>
      </c>
      <c r="F14" s="20" t="n">
        <f aca="false">SUM(F7:F13)</f>
        <v>10511</v>
      </c>
      <c r="G14" s="20" t="n">
        <f aca="false">SUM(G7:G13)</f>
        <v>10742</v>
      </c>
      <c r="H14" s="20" t="n">
        <f aca="false">SUM(H7:H13)</f>
        <v>11008</v>
      </c>
      <c r="I14" s="20" t="n">
        <f aca="false">SUM(I7:I13)</f>
        <v>11310</v>
      </c>
      <c r="J14" s="20" t="n">
        <f aca="false">SUM(J7:J13)</f>
        <v>11636</v>
      </c>
    </row>
    <row r="16" customFormat="false" ht="15" hidden="false" customHeight="false" outlineLevel="0" collapsed="false">
      <c r="B16" s="5" t="s">
        <v>101</v>
      </c>
      <c r="C16" s="19" t="n">
        <v>590</v>
      </c>
      <c r="D16" s="19" t="n">
        <v>640</v>
      </c>
      <c r="E16" s="19" t="n">
        <v>690</v>
      </c>
      <c r="F16" s="11" t="n">
        <v>720</v>
      </c>
      <c r="G16" s="11" t="n">
        <v>740</v>
      </c>
      <c r="H16" s="11" t="n">
        <v>760</v>
      </c>
      <c r="I16" s="11" t="n">
        <v>780</v>
      </c>
      <c r="J16" s="11" t="n">
        <v>800</v>
      </c>
    </row>
    <row r="17" customFormat="false" ht="15" hidden="false" customHeight="false" outlineLevel="0" collapsed="false">
      <c r="B17" s="5" t="s">
        <v>102</v>
      </c>
      <c r="C17" s="19" t="n">
        <v>180</v>
      </c>
      <c r="D17" s="19" t="n">
        <v>198</v>
      </c>
      <c r="E17" s="19" t="n">
        <v>179</v>
      </c>
      <c r="F17" s="11" t="n">
        <v>190</v>
      </c>
      <c r="G17" s="11" t="n">
        <v>190</v>
      </c>
      <c r="H17" s="11" t="n">
        <v>190</v>
      </c>
      <c r="I17" s="11" t="n">
        <v>190</v>
      </c>
      <c r="J17" s="11" t="n">
        <v>190</v>
      </c>
    </row>
    <row r="18" customFormat="false" ht="15" hidden="false" customHeight="false" outlineLevel="0" collapsed="false">
      <c r="B18" s="5" t="s">
        <v>103</v>
      </c>
      <c r="C18" s="19" t="n">
        <v>600</v>
      </c>
      <c r="D18" s="19" t="n">
        <v>500</v>
      </c>
      <c r="E18" s="19" t="n">
        <v>400</v>
      </c>
      <c r="F18" s="20" t="n">
        <f aca="false">debt!F9</f>
        <v>4320</v>
      </c>
      <c r="G18" s="20" t="n">
        <f aca="false">debt!G9</f>
        <v>3840</v>
      </c>
      <c r="H18" s="20" t="n">
        <f aca="false">debt!H9</f>
        <v>3360</v>
      </c>
      <c r="I18" s="20" t="n">
        <f aca="false">debt!I9</f>
        <v>2880</v>
      </c>
      <c r="J18" s="20" t="n">
        <f aca="false">debt!J9</f>
        <v>2400</v>
      </c>
    </row>
    <row r="19" customFormat="false" ht="15" hidden="false" customHeight="false" outlineLevel="0" collapsed="false">
      <c r="B19" s="5" t="s">
        <v>104</v>
      </c>
      <c r="C19" s="28" t="n">
        <f aca="false">SUM(C16:C18)</f>
        <v>1370</v>
      </c>
      <c r="D19" s="28" t="n">
        <f aca="false">SUM(D16:D18)</f>
        <v>1338</v>
      </c>
      <c r="E19" s="28" t="n">
        <f aca="false">SUM(E16:E18)</f>
        <v>1269</v>
      </c>
      <c r="F19" s="20" t="n">
        <f aca="false">SUM(F16:F18)</f>
        <v>5230</v>
      </c>
      <c r="G19" s="20" t="n">
        <f aca="false">SUM(G16:G18)</f>
        <v>4770</v>
      </c>
      <c r="H19" s="20" t="n">
        <f aca="false">SUM(H16:H18)</f>
        <v>4310</v>
      </c>
      <c r="I19" s="20" t="n">
        <f aca="false">SUM(I16:I18)</f>
        <v>3850</v>
      </c>
      <c r="J19" s="20" t="n">
        <f aca="false">SUM(J16:J18)</f>
        <v>3390</v>
      </c>
    </row>
    <row r="21" customFormat="false" ht="15" hidden="false" customHeight="false" outlineLevel="0" collapsed="false">
      <c r="B21" s="4" t="s">
        <v>105</v>
      </c>
      <c r="C21" s="19" t="n">
        <v>2050</v>
      </c>
      <c r="D21" s="19" t="n">
        <v>2430</v>
      </c>
      <c r="E21" s="19" t="n">
        <v>2850</v>
      </c>
      <c r="F21" s="11" t="n">
        <v>5281</v>
      </c>
      <c r="G21" s="11" t="n">
        <v>5972</v>
      </c>
      <c r="H21" s="11" t="n">
        <v>6698</v>
      </c>
      <c r="I21" s="11" t="n">
        <v>7460</v>
      </c>
      <c r="J21" s="11" t="n">
        <v>8246</v>
      </c>
    </row>
    <row r="22" customFormat="false" ht="15" hidden="false" customHeight="false" outlineLevel="0" collapsed="false">
      <c r="B22" s="4" t="s">
        <v>106</v>
      </c>
      <c r="C22" s="28" t="n">
        <f aca="false">C19+C21</f>
        <v>3420</v>
      </c>
      <c r="D22" s="28" t="n">
        <f aca="false">D19+D21</f>
        <v>3768</v>
      </c>
      <c r="E22" s="28" t="n">
        <f aca="false">E19+E21</f>
        <v>4119</v>
      </c>
      <c r="F22" s="20" t="n">
        <f aca="false">F19+F21</f>
        <v>10511</v>
      </c>
      <c r="G22" s="20" t="n">
        <f aca="false">G19+G21</f>
        <v>10742</v>
      </c>
      <c r="H22" s="20" t="n">
        <f aca="false">H19+H21</f>
        <v>11008</v>
      </c>
      <c r="I22" s="20" t="n">
        <f aca="false">I19+I21</f>
        <v>11310</v>
      </c>
      <c r="J22" s="20" t="n">
        <f aca="false">J19+J21</f>
        <v>11636</v>
      </c>
    </row>
    <row r="24" customFormat="false" ht="15" hidden="false" customHeight="false" outlineLevel="0" collapsed="false">
      <c r="B24" s="29" t="s">
        <v>107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36"/>
    <col collapsed="false" customWidth="true" hidden="false" outlineLevel="0" max="10" min="3" style="0" width="12"/>
  </cols>
  <sheetData>
    <row r="1" customFormat="false" ht="19.4" hidden="false" customHeight="false" outlineLevel="0" collapsed="false">
      <c r="A1" s="8" t="s">
        <v>108</v>
      </c>
    </row>
    <row r="2" customFormat="false" ht="15" hidden="false" customHeight="false" outlineLevel="0" collapsed="false">
      <c r="A2" s="7" t="s">
        <v>69</v>
      </c>
      <c r="H2" s="4" t="s">
        <v>26</v>
      </c>
    </row>
    <row r="4" customFormat="false" ht="15" hidden="false" customHeight="false" outlineLevel="0" collapsed="false">
      <c r="C4" s="18" t="s">
        <v>46</v>
      </c>
      <c r="D4" s="18" t="s">
        <v>47</v>
      </c>
      <c r="E4" s="18" t="s">
        <v>48</v>
      </c>
      <c r="F4" s="18" t="s">
        <v>49</v>
      </c>
      <c r="G4" s="18" t="s">
        <v>50</v>
      </c>
      <c r="H4" s="18" t="s">
        <v>51</v>
      </c>
      <c r="I4" s="18" t="s">
        <v>52</v>
      </c>
      <c r="J4" s="18" t="s">
        <v>53</v>
      </c>
    </row>
    <row r="5" customFormat="false" ht="15" hidden="false" customHeight="false" outlineLevel="0" collapsed="false">
      <c r="C5" s="10" t="s">
        <v>54</v>
      </c>
      <c r="D5" s="10" t="s">
        <v>54</v>
      </c>
      <c r="E5" s="10" t="s">
        <v>54</v>
      </c>
      <c r="F5" s="10" t="s">
        <v>55</v>
      </c>
      <c r="G5" s="10" t="s">
        <v>55</v>
      </c>
      <c r="H5" s="10" t="s">
        <v>55</v>
      </c>
      <c r="I5" s="10" t="s">
        <v>55</v>
      </c>
      <c r="J5" s="10" t="s">
        <v>55</v>
      </c>
    </row>
    <row r="7" customFormat="false" ht="15" hidden="false" customHeight="false" outlineLevel="0" collapsed="false">
      <c r="B7" s="5" t="s">
        <v>109</v>
      </c>
      <c r="C7" s="28" t="n">
        <f aca="false">PL!C32</f>
        <v>425</v>
      </c>
      <c r="D7" s="28" t="n">
        <f aca="false">PL!D32</f>
        <v>539</v>
      </c>
      <c r="E7" s="28" t="n">
        <f aca="false">PL!E32</f>
        <v>657</v>
      </c>
      <c r="F7" s="20" t="n">
        <f aca="false">PL!F32</f>
        <v>646</v>
      </c>
      <c r="G7" s="20" t="n">
        <f aca="false">PL!G32</f>
        <v>691</v>
      </c>
      <c r="H7" s="20" t="n">
        <f aca="false">PL!H32</f>
        <v>726</v>
      </c>
      <c r="I7" s="20" t="n">
        <f aca="false">PL!I32</f>
        <v>762</v>
      </c>
      <c r="J7" s="20" t="n">
        <f aca="false">PL!J32</f>
        <v>786</v>
      </c>
    </row>
    <row r="8" customFormat="false" ht="15" hidden="false" customHeight="false" outlineLevel="0" collapsed="false">
      <c r="B8" s="5" t="s">
        <v>84</v>
      </c>
      <c r="C8" s="28" t="n">
        <f aca="false">PL!C24</f>
        <v>150</v>
      </c>
      <c r="D8" s="28" t="n">
        <f aca="false">PL!D24</f>
        <v>155</v>
      </c>
      <c r="E8" s="28" t="n">
        <f aca="false">PL!E24</f>
        <v>160</v>
      </c>
      <c r="F8" s="20" t="n">
        <f aca="false">PL!F24</f>
        <v>165</v>
      </c>
      <c r="G8" s="20" t="n">
        <f aca="false">PL!G24</f>
        <v>168</v>
      </c>
      <c r="H8" s="20" t="n">
        <f aca="false">PL!H24</f>
        <v>171</v>
      </c>
      <c r="I8" s="20" t="n">
        <f aca="false">PL!I24</f>
        <v>174</v>
      </c>
      <c r="J8" s="20" t="n">
        <f aca="false">PL!J24</f>
        <v>177</v>
      </c>
    </row>
    <row r="9" customFormat="false" ht="15" hidden="false" customHeight="false" outlineLevel="0" collapsed="false">
      <c r="B9" s="5" t="s">
        <v>110</v>
      </c>
      <c r="C9" s="19" t="n">
        <v>145</v>
      </c>
      <c r="D9" s="19" t="n">
        <v>116</v>
      </c>
      <c r="E9" s="19" t="n">
        <v>88</v>
      </c>
      <c r="F9" s="11" t="n">
        <v>-50</v>
      </c>
      <c r="G9" s="11" t="n">
        <v>-64</v>
      </c>
      <c r="H9" s="11" t="n">
        <v>-56</v>
      </c>
      <c r="I9" s="11" t="n">
        <v>-55</v>
      </c>
      <c r="J9" s="11" t="n">
        <v>-41</v>
      </c>
    </row>
    <row r="10" customFormat="false" ht="15" hidden="false" customHeight="false" outlineLevel="0" collapsed="false">
      <c r="B10" s="5" t="s">
        <v>111</v>
      </c>
      <c r="C10" s="28" t="n">
        <f aca="false">SUM(C7:C9)</f>
        <v>720</v>
      </c>
      <c r="D10" s="28" t="n">
        <f aca="false">SUM(D7:D9)</f>
        <v>810</v>
      </c>
      <c r="E10" s="28" t="n">
        <f aca="false">SUM(E7:E9)</f>
        <v>905</v>
      </c>
      <c r="F10" s="20" t="n">
        <f aca="false">SUM(F7:F9)</f>
        <v>761</v>
      </c>
      <c r="G10" s="20" t="n">
        <f aca="false">SUM(G7:G9)</f>
        <v>795</v>
      </c>
      <c r="H10" s="20" t="n">
        <f aca="false">SUM(H7:H9)</f>
        <v>841</v>
      </c>
      <c r="I10" s="20" t="n">
        <f aca="false">SUM(I7:I9)</f>
        <v>881</v>
      </c>
      <c r="J10" s="20" t="n">
        <f aca="false">SUM(J7:J9)</f>
        <v>922</v>
      </c>
    </row>
    <row r="12" customFormat="false" ht="15" hidden="false" customHeight="false" outlineLevel="0" collapsed="false">
      <c r="B12" s="5" t="s">
        <v>112</v>
      </c>
      <c r="C12" s="19" t="n">
        <v>-140</v>
      </c>
      <c r="D12" s="19" t="n">
        <v>-150</v>
      </c>
      <c r="E12" s="19" t="n">
        <v>-160</v>
      </c>
      <c r="F12" s="20" t="n">
        <f aca="false">-inp!F41</f>
        <v>-170</v>
      </c>
      <c r="G12" s="20" t="n">
        <f aca="false">-inp!G41</f>
        <v>-170</v>
      </c>
      <c r="H12" s="20" t="n">
        <f aca="false">-inp!H41</f>
        <v>-170</v>
      </c>
      <c r="I12" s="20" t="n">
        <f aca="false">-inp!I41</f>
        <v>-170</v>
      </c>
      <c r="J12" s="20" t="n">
        <f aca="false">-inp!J41</f>
        <v>-170</v>
      </c>
    </row>
    <row r="13" customFormat="false" ht="15" hidden="false" customHeight="false" outlineLevel="0" collapsed="false">
      <c r="B13" s="5" t="s">
        <v>113</v>
      </c>
      <c r="C13" s="28" t="n">
        <f aca="false">C10+C12</f>
        <v>580</v>
      </c>
      <c r="D13" s="28" t="n">
        <f aca="false">D10+D12</f>
        <v>660</v>
      </c>
      <c r="E13" s="28" t="n">
        <f aca="false">E10+E12</f>
        <v>745</v>
      </c>
      <c r="F13" s="20" t="n">
        <f aca="false">F10+F12</f>
        <v>591</v>
      </c>
      <c r="G13" s="20" t="n">
        <f aca="false">G10+G12</f>
        <v>625</v>
      </c>
      <c r="H13" s="20" t="n">
        <f aca="false">H10+H12</f>
        <v>671</v>
      </c>
      <c r="I13" s="20" t="n">
        <f aca="false">I10+I12</f>
        <v>711</v>
      </c>
      <c r="J13" s="20" t="n">
        <f aca="false">J10+J12</f>
        <v>752</v>
      </c>
    </row>
    <row r="15" customFormat="false" ht="15" hidden="false" customHeight="false" outlineLevel="0" collapsed="false">
      <c r="B15" s="5" t="s">
        <v>114</v>
      </c>
      <c r="C15" s="19" t="n">
        <v>-100</v>
      </c>
      <c r="D15" s="19" t="n">
        <v>-100</v>
      </c>
      <c r="E15" s="19" t="n">
        <v>-100</v>
      </c>
      <c r="F15" s="20" t="n">
        <f aca="false">-debt!F8</f>
        <v>-480</v>
      </c>
      <c r="G15" s="20" t="n">
        <f aca="false">-debt!G8</f>
        <v>-480</v>
      </c>
      <c r="H15" s="20" t="n">
        <f aca="false">-debt!H8</f>
        <v>-480</v>
      </c>
      <c r="I15" s="20" t="n">
        <f aca="false">-debt!I8</f>
        <v>-480</v>
      </c>
      <c r="J15" s="20" t="n">
        <f aca="false">-debt!J8</f>
        <v>-480</v>
      </c>
    </row>
    <row r="16" customFormat="false" ht="15" hidden="false" customHeight="false" outlineLevel="0" collapsed="false">
      <c r="B16" s="5" t="s">
        <v>115</v>
      </c>
      <c r="C16" s="19" t="n">
        <v>-420</v>
      </c>
      <c r="D16" s="19" t="n">
        <v>-440</v>
      </c>
      <c r="E16" s="19" t="n">
        <v>-525</v>
      </c>
      <c r="F16" s="11" t="n">
        <v>0</v>
      </c>
      <c r="G16" s="11" t="n">
        <v>0</v>
      </c>
      <c r="H16" s="11" t="n">
        <v>0</v>
      </c>
      <c r="I16" s="11" t="n">
        <v>0</v>
      </c>
      <c r="J16" s="11" t="n">
        <v>0</v>
      </c>
    </row>
    <row r="17" customFormat="false" ht="15" hidden="false" customHeight="false" outlineLevel="0" collapsed="false">
      <c r="B17" s="5" t="s">
        <v>116</v>
      </c>
      <c r="C17" s="28" t="n">
        <f aca="false">C15+C16</f>
        <v>-520</v>
      </c>
      <c r="D17" s="28" t="n">
        <f aca="false">D15+D16</f>
        <v>-540</v>
      </c>
      <c r="E17" s="28" t="n">
        <f aca="false">E15+E16</f>
        <v>-625</v>
      </c>
      <c r="F17" s="20" t="n">
        <f aca="false">F15+F16</f>
        <v>-480</v>
      </c>
      <c r="G17" s="20" t="n">
        <f aca="false">G15+G16</f>
        <v>-480</v>
      </c>
      <c r="H17" s="20" t="n">
        <f aca="false">H15+H16</f>
        <v>-480</v>
      </c>
      <c r="I17" s="20" t="n">
        <f aca="false">I15+I16</f>
        <v>-480</v>
      </c>
      <c r="J17" s="20" t="n">
        <f aca="false">J15+J16</f>
        <v>-480</v>
      </c>
    </row>
    <row r="19" customFormat="false" ht="15" hidden="false" customHeight="false" outlineLevel="0" collapsed="false">
      <c r="B19" s="5" t="s">
        <v>117</v>
      </c>
      <c r="C19" s="28" t="n">
        <f aca="false">C13+C17</f>
        <v>60</v>
      </c>
      <c r="D19" s="28" t="n">
        <f aca="false">D13+D17</f>
        <v>120</v>
      </c>
      <c r="E19" s="28" t="n">
        <f aca="false">E13+E17</f>
        <v>120</v>
      </c>
      <c r="F19" s="20" t="n">
        <f aca="false">F13+F17</f>
        <v>111</v>
      </c>
      <c r="G19" s="20" t="n">
        <f aca="false">G13+G17</f>
        <v>145</v>
      </c>
      <c r="H19" s="20" t="n">
        <f aca="false">H13+H17</f>
        <v>191</v>
      </c>
      <c r="I19" s="20" t="n">
        <f aca="false">I13+I17</f>
        <v>231</v>
      </c>
      <c r="J19" s="20" t="n">
        <f aca="false">J13+J17</f>
        <v>272</v>
      </c>
    </row>
    <row r="20" customFormat="false" ht="15" hidden="false" customHeight="false" outlineLevel="0" collapsed="false">
      <c r="B20" s="5" t="s">
        <v>118</v>
      </c>
      <c r="C20" s="19" t="n">
        <v>320</v>
      </c>
      <c r="D20" s="28" t="n">
        <f aca="false">C21</f>
        <v>380</v>
      </c>
      <c r="E20" s="28" t="n">
        <f aca="false">D21</f>
        <v>500</v>
      </c>
      <c r="F20" s="11" t="n">
        <v>240</v>
      </c>
      <c r="G20" s="20" t="n">
        <f aca="false">F21</f>
        <v>351</v>
      </c>
      <c r="H20" s="20" t="n">
        <f aca="false">G21</f>
        <v>496</v>
      </c>
      <c r="I20" s="20" t="n">
        <f aca="false">H21</f>
        <v>687</v>
      </c>
      <c r="J20" s="20" t="n">
        <f aca="false">I21</f>
        <v>918</v>
      </c>
    </row>
    <row r="21" customFormat="false" ht="15" hidden="false" customHeight="false" outlineLevel="0" collapsed="false">
      <c r="B21" s="5" t="s">
        <v>119</v>
      </c>
      <c r="C21" s="28" t="n">
        <f aca="false">C19+C20</f>
        <v>380</v>
      </c>
      <c r="D21" s="28" t="n">
        <f aca="false">D19+D20</f>
        <v>500</v>
      </c>
      <c r="E21" s="28" t="n">
        <f aca="false">E19+E20</f>
        <v>620</v>
      </c>
      <c r="F21" s="20" t="n">
        <f aca="false">F19+F20</f>
        <v>351</v>
      </c>
      <c r="G21" s="20" t="n">
        <f aca="false">G19+G20</f>
        <v>496</v>
      </c>
      <c r="H21" s="20" t="n">
        <f aca="false">H19+H20</f>
        <v>687</v>
      </c>
      <c r="I21" s="20" t="n">
        <f aca="false">I19+I20</f>
        <v>918</v>
      </c>
      <c r="J21" s="20" t="n">
        <f aca="false">J19+J20</f>
        <v>1190</v>
      </c>
    </row>
    <row r="24" customFormat="false" ht="15" hidden="false" customHeight="false" outlineLevel="0" collapsed="false">
      <c r="B24" s="29" t="s">
        <v>120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36"/>
    <col collapsed="false" customWidth="true" hidden="false" outlineLevel="0" max="10" min="3" style="0" width="12"/>
  </cols>
  <sheetData>
    <row r="1" customFormat="false" ht="19.4" hidden="false" customHeight="false" outlineLevel="0" collapsed="false">
      <c r="A1" s="8" t="s">
        <v>121</v>
      </c>
    </row>
    <row r="2" customFormat="false" ht="15" hidden="false" customHeight="false" outlineLevel="0" collapsed="false">
      <c r="A2" s="7" t="s">
        <v>69</v>
      </c>
      <c r="H2" s="4" t="s">
        <v>26</v>
      </c>
    </row>
    <row r="4" customFormat="false" ht="15" hidden="false" customHeight="false" outlineLevel="0" collapsed="false">
      <c r="C4" s="18" t="s">
        <v>46</v>
      </c>
      <c r="D4" s="18" t="s">
        <v>47</v>
      </c>
      <c r="E4" s="18" t="s">
        <v>48</v>
      </c>
      <c r="F4" s="18" t="s">
        <v>49</v>
      </c>
      <c r="G4" s="18" t="s">
        <v>50</v>
      </c>
      <c r="H4" s="18" t="s">
        <v>51</v>
      </c>
      <c r="I4" s="18" t="s">
        <v>52</v>
      </c>
      <c r="J4" s="18" t="s">
        <v>53</v>
      </c>
    </row>
    <row r="5" customFormat="false" ht="15" hidden="false" customHeight="false" outlineLevel="0" collapsed="false">
      <c r="C5" s="10" t="s">
        <v>54</v>
      </c>
      <c r="D5" s="10" t="s">
        <v>54</v>
      </c>
      <c r="E5" s="10" t="s">
        <v>54</v>
      </c>
      <c r="F5" s="10" t="s">
        <v>55</v>
      </c>
      <c r="G5" s="10" t="s">
        <v>55</v>
      </c>
      <c r="H5" s="10" t="s">
        <v>55</v>
      </c>
      <c r="I5" s="10" t="s">
        <v>55</v>
      </c>
      <c r="J5" s="10" t="s">
        <v>55</v>
      </c>
    </row>
    <row r="7" customFormat="false" ht="15" hidden="false" customHeight="false" outlineLevel="0" collapsed="false">
      <c r="B7" s="5" t="s">
        <v>122</v>
      </c>
      <c r="F7" s="20" t="n">
        <f aca="false">inp!D11</f>
        <v>4800</v>
      </c>
      <c r="G7" s="20" t="n">
        <f aca="false">F9</f>
        <v>4320</v>
      </c>
      <c r="H7" s="20" t="n">
        <f aca="false">G9</f>
        <v>3840</v>
      </c>
      <c r="I7" s="20" t="n">
        <f aca="false">H9</f>
        <v>3360</v>
      </c>
      <c r="J7" s="20" t="n">
        <f aca="false">I9</f>
        <v>2880</v>
      </c>
    </row>
    <row r="8" customFormat="false" ht="15" hidden="false" customHeight="false" outlineLevel="0" collapsed="false">
      <c r="B8" s="5" t="s">
        <v>123</v>
      </c>
      <c r="F8" s="20" t="n">
        <f aca="false">inp!D19</f>
        <v>480</v>
      </c>
      <c r="G8" s="20" t="n">
        <f aca="false">inp!D19</f>
        <v>480</v>
      </c>
      <c r="H8" s="20" t="n">
        <f aca="false">inp!D19</f>
        <v>480</v>
      </c>
      <c r="I8" s="20" t="n">
        <f aca="false">inp!D19</f>
        <v>480</v>
      </c>
      <c r="J8" s="20" t="n">
        <f aca="false">inp!D19</f>
        <v>480</v>
      </c>
    </row>
    <row r="9" customFormat="false" ht="15" hidden="false" customHeight="false" outlineLevel="0" collapsed="false">
      <c r="B9" s="5" t="s">
        <v>124</v>
      </c>
      <c r="F9" s="20" t="n">
        <f aca="false">F7-F8</f>
        <v>4320</v>
      </c>
      <c r="G9" s="20" t="n">
        <f aca="false">G7-G8</f>
        <v>3840</v>
      </c>
      <c r="H9" s="20" t="n">
        <f aca="false">H7-H8</f>
        <v>3360</v>
      </c>
      <c r="I9" s="20" t="n">
        <f aca="false">I7-I8</f>
        <v>2880</v>
      </c>
      <c r="J9" s="20" t="n">
        <f aca="false">J7-J8</f>
        <v>2400</v>
      </c>
    </row>
    <row r="10" customFormat="false" ht="15" hidden="false" customHeight="false" outlineLevel="0" collapsed="false">
      <c r="B10" s="5" t="s">
        <v>125</v>
      </c>
      <c r="F10" s="20" t="n">
        <f aca="false">(F7+F9)/2</f>
        <v>4560</v>
      </c>
      <c r="G10" s="20" t="n">
        <f aca="false">(G7+G9)/2</f>
        <v>4080</v>
      </c>
      <c r="H10" s="20" t="n">
        <f aca="false">(H7+H9)/2</f>
        <v>3600</v>
      </c>
      <c r="I10" s="20" t="n">
        <f aca="false">(I7+I9)/2</f>
        <v>3120</v>
      </c>
      <c r="J10" s="20" t="n">
        <f aca="false">(J7+J9)/2</f>
        <v>2640</v>
      </c>
    </row>
    <row r="11" customFormat="false" ht="15" hidden="false" customHeight="false" outlineLevel="0" collapsed="false">
      <c r="B11" s="5" t="s">
        <v>38</v>
      </c>
      <c r="F11" s="27" t="n">
        <f aca="false">inp!D18</f>
        <v>0.023</v>
      </c>
      <c r="G11" s="27" t="n">
        <f aca="false">inp!D18</f>
        <v>0.023</v>
      </c>
      <c r="H11" s="27" t="n">
        <f aca="false">inp!D18</f>
        <v>0.023</v>
      </c>
      <c r="I11" s="27" t="n">
        <f aca="false">inp!D18</f>
        <v>0.023</v>
      </c>
      <c r="J11" s="27" t="n">
        <f aca="false">inp!D18</f>
        <v>0.023</v>
      </c>
    </row>
    <row r="12" customFormat="false" ht="15" hidden="false" customHeight="false" outlineLevel="0" collapsed="false">
      <c r="B12" s="5" t="s">
        <v>87</v>
      </c>
      <c r="F12" s="20" t="n">
        <f aca="false">ROUND(F10*F11,0)</f>
        <v>105</v>
      </c>
      <c r="G12" s="20" t="n">
        <f aca="false">ROUND(G10*G11,0)</f>
        <v>94</v>
      </c>
      <c r="H12" s="20" t="n">
        <f aca="false">ROUND(H10*H11,0)</f>
        <v>83</v>
      </c>
      <c r="I12" s="20" t="n">
        <f aca="false">ROUND(I10*I11,0)</f>
        <v>72</v>
      </c>
      <c r="J12" s="20" t="n">
        <f aca="false">ROUND(J10*J11,0)</f>
        <v>61</v>
      </c>
    </row>
    <row r="14" customFormat="false" ht="15" hidden="false" customHeight="false" outlineLevel="0" collapsed="false">
      <c r="B14" s="7" t="s">
        <v>126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2" min="2" style="0" width="80"/>
  </cols>
  <sheetData>
    <row r="1" customFormat="false" ht="15" hidden="false" customHeight="false" outlineLevel="0" collapsed="false">
      <c r="A1" s="7" t="s">
        <v>127</v>
      </c>
    </row>
    <row r="3" customFormat="false" ht="15" hidden="false" customHeight="false" outlineLevel="0" collapsed="false">
      <c r="B3" s="6" t="s">
        <v>128</v>
      </c>
    </row>
    <row r="4" customFormat="false" ht="15" hidden="false" customHeight="false" outlineLevel="0" collapsed="false">
      <c r="B4" s="6" t="s">
        <v>129</v>
      </c>
    </row>
    <row r="5" customFormat="false" ht="14.15" hidden="false" customHeight="false" outlineLevel="0" collapsed="false">
      <c r="B5" s="5" t="s">
        <v>130</v>
      </c>
    </row>
    <row r="6" customFormat="false" ht="15" hidden="false" customHeight="false" outlineLevel="0" collapsed="false">
      <c r="B6" s="5" t="s">
        <v>131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2026-07-17T02:42:47Z</dcterms:created>
  <dc:creator>openpyxl</dc:creator>
  <dc:description/>
  <dc:language>en-US</dc:language>
  <cp:lastModifiedBy/>
  <dcterms:modified xsi:type="dcterms:W3CDTF">2026-07-17T02:42:47Z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