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ssumptions" sheetId="2" state="visible" r:id="rId2"/>
    <sheet name="PL" sheetId="3" state="visible" r:id="rId3"/>
    <sheet name="BS" sheetId="4" state="visible" r:id="rId4"/>
    <sheet name="CF" sheetId="5" state="visible" r:id="rId5"/>
    <sheet name="KPI_Drivers" sheetId="6" state="visible" r:id="rId6"/>
    <sheet name="Debt_Schedule" sheetId="7" state="visible" r:id="rId7"/>
    <sheet name="PL_old" sheetId="8" state="visible" r:id="rId8"/>
    <sheet name="Scratch" sheetId="9" state="visible" r:id="rId9"/>
    <sheet name="Sheet1"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Yu Gothic"/>
      <b val="1"/>
      <color rgb="001A4F8B"/>
      <sz val="24"/>
    </font>
    <font>
      <name val="Yu Gothic"/>
      <b val="1"/>
      <sz val="16"/>
    </font>
    <font>
      <name val="Yu Gothic"/>
      <b val="1"/>
      <sz val="12"/>
    </font>
    <font>
      <name val="Yu Gothic"/>
      <sz val="10"/>
    </font>
    <font>
      <name val="Yu Gothic"/>
      <color rgb="00737781"/>
      <sz val="9"/>
    </font>
    <font>
      <name val="Yu Gothic"/>
      <b val="1"/>
      <color rgb="001A4F8B"/>
      <sz val="14"/>
    </font>
    <font>
      <name val="Yu Gothic"/>
      <b val="1"/>
      <sz val="10"/>
    </font>
    <font>
      <name val="Yu Gothic"/>
      <b val="1"/>
      <color rgb="00BA1A1A"/>
      <sz val="14"/>
    </font>
  </fonts>
  <fills count="4">
    <fill>
      <patternFill/>
    </fill>
    <fill>
      <patternFill patternType="gray125"/>
    </fill>
    <fill>
      <patternFill patternType="solid">
        <fgColor rgb="00EDEDF3"/>
      </patternFill>
    </fill>
    <fill>
      <patternFill patternType="solid">
        <fgColor rgb="00F5F5F5"/>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2" borderId="0" applyAlignment="1" pivotButton="0" quotePrefix="0" xfId="0">
      <alignment horizontal="center"/>
    </xf>
    <xf numFmtId="0" fontId="5" fillId="0" borderId="0" applyAlignment="1" pivotButton="0" quotePrefix="0" xfId="0">
      <alignment horizontal="center"/>
    </xf>
    <xf numFmtId="3" fontId="4" fillId="0" borderId="0" pivotButton="0" quotePrefix="0" xfId="0"/>
    <xf numFmtId="1" fontId="4" fillId="0" borderId="0" pivotButton="0" quotePrefix="0" xfId="0"/>
    <xf numFmtId="164" fontId="4" fillId="0" borderId="0" pivotButton="0" quotePrefix="0" xfId="0"/>
    <xf numFmtId="3" fontId="4" fillId="3" borderId="0" pivotButton="0" quotePrefix="0" xfId="0"/>
    <xf numFmtId="3" fontId="7" fillId="3" borderId="0" pivotButton="0" quotePrefix="0" xfId="0"/>
    <xf numFmtId="3" fontId="7" fillId="0" borderId="0" pivotButton="0" quotePrefix="0" xfId="0"/>
    <xf numFmtId="164" fontId="4" fillId="3"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4:B15"/>
  <sheetViews>
    <sheetView workbookViewId="0">
      <selection activeCell="A1" sqref="A1"/>
    </sheetView>
  </sheetViews>
  <sheetFormatPr baseColWidth="8" defaultRowHeight="15"/>
  <cols>
    <col width="90" customWidth="1" min="2" max="2"/>
  </cols>
  <sheetData>
    <row r="4">
      <c r="B4" s="1" t="inlineStr">
        <is>
          <t>Project Gear</t>
        </is>
      </c>
    </row>
    <row r="6">
      <c r="B6" s="2" t="inlineStr">
        <is>
          <t>株式会社オートスタッフ中部　財務モデル</t>
        </is>
      </c>
    </row>
    <row r="8">
      <c r="B8" s="3" t="inlineStr">
        <is>
          <t>ケース：Base Case（ベースケース）</t>
        </is>
      </c>
    </row>
    <row r="10">
      <c r="B10" s="4" t="inlineStr">
        <is>
          <t>作成：日本橋キャピタルパートナーズ株式会社</t>
        </is>
      </c>
    </row>
    <row r="11">
      <c r="B11" s="4" t="inlineStr">
        <is>
          <t>作成日：2026年6月30日（Ver. 3.2）</t>
        </is>
      </c>
    </row>
    <row r="12">
      <c r="B12" s="4" t="n"/>
    </row>
    <row r="13">
      <c r="B13" s="5" t="inlineStr">
        <is>
          <t>【取扱厳重注意】</t>
        </is>
      </c>
    </row>
    <row r="14">
      <c r="B14" s="5" t="inlineStr">
        <is>
          <t>本資料は貴行における本件検討のためにのみ作成されたものであり、作成者の事前の書面による同意なく第三者への開示・複製を禁じます。</t>
        </is>
      </c>
    </row>
    <row r="15">
      <c r="B15" s="5" t="inlineStr">
        <is>
          <t>本資料に含まれる将来予測は多くの前提・仮定に基づくものであり、その実現性を保証するものではありません。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 customWidth="1" min="1" max="1"/>
    <col width="44" customWidth="1" min="2" max="2"/>
    <col width="13" customWidth="1" min="3" max="3"/>
    <col width="16" customWidth="1" min="4" max="4"/>
    <col width="13" customWidth="1" min="5" max="5"/>
    <col width="13" customWidth="1" min="6" max="6"/>
    <col width="13" customWidth="1" min="7" max="7"/>
    <col width="13" customWidth="1" min="8" max="8"/>
    <col width="13" customWidth="1" min="9" max="9"/>
    <col width="13" customWidth="1" min="10" max="10"/>
  </cols>
  <sheetData>
    <row r="1">
      <c r="A1" s="6" t="inlineStr">
        <is>
          <t>前提条件（Assumptions）</t>
        </is>
      </c>
    </row>
    <row r="2">
      <c r="A2" s="5" t="inlineStr">
        <is>
          <t>（単位：千円）</t>
        </is>
      </c>
      <c r="H2" s="7" t="inlineStr">
        <is>
          <t>ケース: Base Case</t>
        </is>
      </c>
    </row>
    <row r="4">
      <c r="C4" s="8" t="inlineStr">
        <is>
          <t>FY24</t>
        </is>
      </c>
      <c r="D4" s="8" t="inlineStr">
        <is>
          <t>FY25</t>
        </is>
      </c>
      <c r="E4" s="8" t="inlineStr">
        <is>
          <t>FY26</t>
        </is>
      </c>
      <c r="F4" s="8" t="inlineStr">
        <is>
          <t>FY27</t>
        </is>
      </c>
      <c r="G4" s="8" t="inlineStr">
        <is>
          <t>FY28</t>
        </is>
      </c>
      <c r="H4" s="8" t="inlineStr">
        <is>
          <t>FY29</t>
        </is>
      </c>
      <c r="I4" s="8" t="inlineStr">
        <is>
          <t>FY30</t>
        </is>
      </c>
      <c r="J4" s="8" t="inlineStr">
        <is>
          <t>FY31</t>
        </is>
      </c>
    </row>
    <row r="5">
      <c r="C5" s="9" t="inlineStr">
        <is>
          <t>実績</t>
        </is>
      </c>
      <c r="D5" s="9" t="inlineStr">
        <is>
          <t>実績</t>
        </is>
      </c>
      <c r="E5" s="9" t="inlineStr">
        <is>
          <t>実績</t>
        </is>
      </c>
      <c r="F5" s="9" t="inlineStr">
        <is>
          <t>計画</t>
        </is>
      </c>
      <c r="G5" s="9" t="inlineStr">
        <is>
          <t>計画</t>
        </is>
      </c>
      <c r="H5" s="9" t="inlineStr">
        <is>
          <t>計画</t>
        </is>
      </c>
      <c r="I5" s="9" t="inlineStr">
        <is>
          <t>計画</t>
        </is>
      </c>
      <c r="J5" s="9" t="inlineStr">
        <is>
          <t>計画</t>
        </is>
      </c>
    </row>
    <row r="7">
      <c r="B7" s="7" t="inlineStr">
        <is>
          <t>ストラクチャー</t>
        </is>
      </c>
    </row>
    <row r="8">
      <c r="B8" s="4" t="inlineStr">
        <is>
          <t>エンタープライズ・バリュー（EV）</t>
        </is>
      </c>
      <c r="D8" s="10" t="n">
        <v>12000000</v>
      </c>
    </row>
    <row r="9">
      <c r="B9" s="4" t="inlineStr">
        <is>
          <t>エクイティ出資</t>
        </is>
      </c>
      <c r="D9" s="10" t="n">
        <v>5500000</v>
      </c>
    </row>
    <row r="10">
      <c r="B10" s="4" t="inlineStr">
        <is>
          <t>シニアローン総額</t>
        </is>
      </c>
      <c r="D10" s="10" t="n">
        <v>6500000</v>
      </c>
    </row>
    <row r="11">
      <c r="B11" s="4" t="inlineStr">
        <is>
          <t xml:space="preserve">　うち参加金融機関A行 想定取組額</t>
        </is>
      </c>
      <c r="D11" s="10" t="n">
        <v>2500000</v>
      </c>
    </row>
    <row r="12">
      <c r="B12" s="4" t="inlineStr">
        <is>
          <t>ローン期間（年）</t>
        </is>
      </c>
      <c r="D12" s="11" t="n">
        <v>7</v>
      </c>
    </row>
    <row r="13">
      <c r="B13" s="4" t="inlineStr">
        <is>
          <t>適用金利（TIBOR+200bp想定）</t>
        </is>
      </c>
      <c r="D13" s="12" t="n">
        <v>0.022</v>
      </c>
    </row>
    <row r="14">
      <c r="B14" s="4" t="inlineStr">
        <is>
          <t>約定弁済（年・最終回残額一括）</t>
        </is>
      </c>
      <c r="D14" s="10" t="n">
        <v>650000</v>
      </c>
    </row>
    <row r="15">
      <c r="B15" s="4" t="inlineStr">
        <is>
          <t>クローズ想定</t>
        </is>
      </c>
      <c r="D15" s="4" t="inlineStr">
        <is>
          <t>2026年9月末</t>
        </is>
      </c>
    </row>
    <row r="16">
      <c r="B16" s="4" t="inlineStr"/>
    </row>
    <row r="17">
      <c r="B17" s="7" t="inlineStr">
        <is>
          <t>オペレーティング前提</t>
        </is>
      </c>
    </row>
    <row r="18">
      <c r="B18" s="4" t="inlineStr">
        <is>
          <t>実効税率</t>
        </is>
      </c>
      <c r="D18" s="12" t="n">
        <v>0.31</v>
      </c>
    </row>
    <row r="19">
      <c r="B19" s="4" t="inlineStr">
        <is>
          <t>売上債権回転日数</t>
        </is>
      </c>
      <c r="D19" s="11" t="n">
        <v>45</v>
      </c>
    </row>
    <row r="20">
      <c r="B20" s="4" t="inlineStr">
        <is>
          <t>買収時現金調整（取引費用等）</t>
        </is>
      </c>
      <c r="D20" s="10" t="n">
        <v>-750000</v>
      </c>
    </row>
    <row r="21">
      <c r="B21" s="4" t="inlineStr">
        <is>
          <t>のれん想定額（暫定PPA前）</t>
        </is>
      </c>
      <c r="D21" s="10" t="n">
        <v>5500000</v>
      </c>
    </row>
    <row r="22">
      <c r="B22" s="4" t="inlineStr"/>
    </row>
    <row r="23">
      <c r="B23" s="4" t="inlineStr">
        <is>
          <t>スポンサー提示EBITDA（速報・ティーザー記載）</t>
        </is>
      </c>
      <c r="D23" s="10" t="n">
        <v>1585000</v>
      </c>
    </row>
    <row r="24">
      <c r="B24" s="5" t="inlineStr">
        <is>
          <t>（参考）旧前提 v2.1：シニア7,000,000／金利2.4%　※現行版では使用しない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6" t="inlineStr">
        <is>
          <t>損益計算書（Projected P&amp;L）</t>
        </is>
      </c>
    </row>
    <row r="2">
      <c r="A2" s="5" t="inlineStr">
        <is>
          <t>（単位：千円）</t>
        </is>
      </c>
      <c r="H2" s="7" t="inlineStr">
        <is>
          <t>ケース: Base Case</t>
        </is>
      </c>
    </row>
    <row r="4">
      <c r="C4" s="8" t="inlineStr">
        <is>
          <t>FY24</t>
        </is>
      </c>
      <c r="D4" s="8" t="inlineStr">
        <is>
          <t>FY25</t>
        </is>
      </c>
      <c r="E4" s="8" t="inlineStr">
        <is>
          <t>FY26</t>
        </is>
      </c>
      <c r="F4" s="8" t="inlineStr">
        <is>
          <t>FY27</t>
        </is>
      </c>
      <c r="G4" s="8" t="inlineStr">
        <is>
          <t>FY28</t>
        </is>
      </c>
      <c r="H4" s="8" t="inlineStr">
        <is>
          <t>FY29</t>
        </is>
      </c>
      <c r="I4" s="8" t="inlineStr">
        <is>
          <t>FY30</t>
        </is>
      </c>
      <c r="J4" s="8" t="inlineStr">
        <is>
          <t>FY31</t>
        </is>
      </c>
    </row>
    <row r="5">
      <c r="C5" s="9" t="inlineStr">
        <is>
          <t>実績</t>
        </is>
      </c>
      <c r="D5" s="9" t="inlineStr">
        <is>
          <t>実績</t>
        </is>
      </c>
      <c r="E5" s="9" t="inlineStr">
        <is>
          <t>実績</t>
        </is>
      </c>
      <c r="F5" s="9" t="inlineStr">
        <is>
          <t>計画</t>
        </is>
      </c>
      <c r="G5" s="9" t="inlineStr">
        <is>
          <t>計画</t>
        </is>
      </c>
      <c r="H5" s="9" t="inlineStr">
        <is>
          <t>計画</t>
        </is>
      </c>
      <c r="I5" s="9" t="inlineStr">
        <is>
          <t>計画</t>
        </is>
      </c>
      <c r="J5" s="9" t="inlineStr">
        <is>
          <t>計画</t>
        </is>
      </c>
    </row>
    <row r="7">
      <c r="B7" s="4" t="inlineStr">
        <is>
          <t>派遣事業売上</t>
        </is>
      </c>
      <c r="C7" s="13" t="n">
        <v>12314768</v>
      </c>
      <c r="D7" s="13" t="n">
        <v>13205127</v>
      </c>
      <c r="E7" s="13" t="n">
        <v>13988621</v>
      </c>
      <c r="F7" s="10">
        <f>ROUND(KPI_Drivers!F9*KPI_Drivers!F10*KPI_Drivers!F11*12/1000,0)</f>
        <v/>
      </c>
      <c r="G7" s="10">
        <f>ROUND(KPI_Drivers!G9*KPI_Drivers!G10*KPI_Drivers!G11*12/1000,0)</f>
        <v/>
      </c>
      <c r="H7" s="10">
        <f>ROUND(KPI_Drivers!H9*KPI_Drivers!H10*KPI_Drivers!H11*12/1000,0)</f>
        <v/>
      </c>
      <c r="I7" s="10">
        <f>ROUND(KPI_Drivers!I9*KPI_Drivers!I10*KPI_Drivers!I11*12/1000,0)</f>
        <v/>
      </c>
      <c r="J7" s="10">
        <f>ROUND(KPI_Drivers!J9*KPI_Drivers!J10*KPI_Drivers!J11*12/1000,0)</f>
        <v/>
      </c>
    </row>
    <row r="8">
      <c r="B8" s="4" t="inlineStr">
        <is>
          <t>その他営業収入（紹介手数料等）</t>
        </is>
      </c>
      <c r="C8" s="13" t="n">
        <v>145232</v>
      </c>
      <c r="D8" s="13" t="n">
        <v>158000</v>
      </c>
      <c r="E8" s="13" t="n">
        <v>171379</v>
      </c>
      <c r="F8" s="10" t="n">
        <v>176092</v>
      </c>
      <c r="G8" s="10" t="n">
        <v>180000</v>
      </c>
      <c r="H8" s="10" t="n">
        <v>184000</v>
      </c>
      <c r="I8" s="10" t="n">
        <v>188000</v>
      </c>
      <c r="J8" s="10" t="n">
        <v>192000</v>
      </c>
    </row>
    <row r="9">
      <c r="B9" s="7" t="inlineStr">
        <is>
          <t>売上高（Net Sales）</t>
        </is>
      </c>
      <c r="C9" s="14">
        <f>SUM(C7:C8)</f>
        <v/>
      </c>
      <c r="D9" s="14">
        <f>SUM(D7:D8)</f>
        <v/>
      </c>
      <c r="E9" s="14">
        <f>SUM(E7:E8)</f>
        <v/>
      </c>
      <c r="F9" s="15">
        <f>SUM(F7:F8)</f>
        <v/>
      </c>
      <c r="G9" s="15">
        <f>SUM(G7:G8)</f>
        <v/>
      </c>
      <c r="H9" s="15">
        <f>SUM(H7:H8)</f>
        <v/>
      </c>
      <c r="I9" s="15">
        <f>SUM(I7:I8)</f>
        <v/>
      </c>
      <c r="J9" s="15">
        <f>SUM(J7:J8)</f>
        <v/>
      </c>
    </row>
    <row r="11">
      <c r="B11" s="4" t="inlineStr">
        <is>
          <t>スタッフ労務費（法定福利費込）</t>
        </is>
      </c>
      <c r="C11" s="13" t="n">
        <v>9729886</v>
      </c>
      <c r="D11" s="13" t="n">
        <v>10413461</v>
      </c>
      <c r="E11" s="13" t="n">
        <v>11011043</v>
      </c>
      <c r="F11" s="10">
        <f>ROUND(KPI_Drivers!F9*KPI_Drivers!F10*KPI_Drivers!F12*(1+KPI_Drivers!F13)*12/1000,0)</f>
        <v/>
      </c>
      <c r="G11" s="10">
        <f>ROUND(KPI_Drivers!G9*KPI_Drivers!G10*KPI_Drivers!G12*(1+KPI_Drivers!G13)*12/1000,0)</f>
        <v/>
      </c>
      <c r="H11" s="10">
        <f>ROUND(KPI_Drivers!H9*KPI_Drivers!H10*KPI_Drivers!H12*(1+KPI_Drivers!H13)*12/1000,0)</f>
        <v/>
      </c>
      <c r="I11" s="10">
        <f>ROUND(KPI_Drivers!I9*KPI_Drivers!I10*KPI_Drivers!I12*(1+KPI_Drivers!I13)*12/1000,0)</f>
        <v/>
      </c>
      <c r="J11" s="10">
        <f>ROUND(KPI_Drivers!J9*KPI_Drivers!J10*KPI_Drivers!J12*(1+KPI_Drivers!J13)*12/1000,0)</f>
        <v/>
      </c>
    </row>
    <row r="12">
      <c r="B12" s="4" t="inlineStr">
        <is>
          <t>その他売上原価</t>
        </is>
      </c>
      <c r="C12" s="13" t="n">
        <v>282000</v>
      </c>
      <c r="D12" s="13" t="n">
        <v>290000</v>
      </c>
      <c r="E12" s="13" t="n">
        <v>300000</v>
      </c>
      <c r="F12" s="10" t="n">
        <v>310000</v>
      </c>
      <c r="G12" s="10" t="n">
        <v>318000</v>
      </c>
      <c r="H12" s="10" t="n">
        <v>326000</v>
      </c>
      <c r="I12" s="10" t="n">
        <v>334000</v>
      </c>
      <c r="J12" s="10" t="n">
        <v>342000</v>
      </c>
    </row>
    <row r="13">
      <c r="B13" s="4" t="inlineStr">
        <is>
          <t>売上原価 合計</t>
        </is>
      </c>
      <c r="C13" s="13">
        <f>C11+C12</f>
        <v/>
      </c>
      <c r="D13" s="13">
        <f>D11+D12</f>
        <v/>
      </c>
      <c r="E13" s="13">
        <f>E11+E12</f>
        <v/>
      </c>
      <c r="F13" s="10">
        <f>F11+F12</f>
        <v/>
      </c>
      <c r="G13" s="10">
        <f>G11+G12</f>
        <v/>
      </c>
      <c r="H13" s="10">
        <f>H11+H12</f>
        <v/>
      </c>
      <c r="I13" s="10">
        <f>I11+I12</f>
        <v/>
      </c>
      <c r="J13" s="10">
        <f>J11+J12</f>
        <v/>
      </c>
    </row>
    <row r="14">
      <c r="B14" s="7" t="inlineStr">
        <is>
          <t>売上総利益</t>
        </is>
      </c>
      <c r="C14" s="14">
        <f>C9-C13</f>
        <v/>
      </c>
      <c r="D14" s="14">
        <f>D9-D13</f>
        <v/>
      </c>
      <c r="E14" s="14">
        <f>E9-E13</f>
        <v/>
      </c>
      <c r="F14" s="15">
        <f>F9-F13</f>
        <v/>
      </c>
      <c r="G14" s="15">
        <f>G9-G13</f>
        <v/>
      </c>
      <c r="H14" s="15">
        <f>H9-H13</f>
        <v/>
      </c>
      <c r="I14" s="15">
        <f>I9-I13</f>
        <v/>
      </c>
      <c r="J14" s="15">
        <f>J9-J13</f>
        <v/>
      </c>
    </row>
    <row r="15">
      <c r="B15" s="4" t="inlineStr">
        <is>
          <t>売上総利益率</t>
        </is>
      </c>
      <c r="C15" s="16">
        <f>C14/C9</f>
        <v/>
      </c>
      <c r="D15" s="16">
        <f>D14/D9</f>
        <v/>
      </c>
      <c r="E15" s="16">
        <f>E14/E9</f>
        <v/>
      </c>
      <c r="F15" s="12">
        <f>F14/F9</f>
        <v/>
      </c>
      <c r="G15" s="12">
        <f>G14/G9</f>
        <v/>
      </c>
      <c r="H15" s="12">
        <f>H14/H9</f>
        <v/>
      </c>
      <c r="I15" s="12">
        <f>I14/I9</f>
        <v/>
      </c>
      <c r="J15" s="12">
        <f>J14/J9</f>
        <v/>
      </c>
    </row>
    <row r="17">
      <c r="B17" s="4" t="inlineStr">
        <is>
          <t>採用費</t>
        </is>
      </c>
      <c r="C17" s="13" t="n">
        <v>236250</v>
      </c>
      <c r="D17" s="13" t="n">
        <v>266560</v>
      </c>
      <c r="E17" s="13" t="n">
        <v>295000</v>
      </c>
      <c r="F17" s="10">
        <f>KPI_Drivers!F14*KPI_Drivers!F15</f>
        <v/>
      </c>
      <c r="G17" s="10">
        <f>KPI_Drivers!G14*KPI_Drivers!G15</f>
        <v/>
      </c>
      <c r="H17" s="10">
        <f>KPI_Drivers!H14*KPI_Drivers!H15</f>
        <v/>
      </c>
      <c r="I17" s="10">
        <f>KPI_Drivers!I14*KPI_Drivers!I15</f>
        <v/>
      </c>
      <c r="J17" s="10">
        <f>KPI_Drivers!J14*KPI_Drivers!J15</f>
        <v/>
      </c>
    </row>
    <row r="18">
      <c r="B18" s="4" t="inlineStr">
        <is>
          <t>本社人件費</t>
        </is>
      </c>
      <c r="C18" s="13" t="n">
        <v>585000</v>
      </c>
      <c r="D18" s="13" t="n">
        <v>600000</v>
      </c>
      <c r="E18" s="13" t="n">
        <v>620000</v>
      </c>
      <c r="F18" s="10" t="n">
        <v>640000</v>
      </c>
      <c r="G18" s="10" t="n">
        <v>652000</v>
      </c>
      <c r="H18" s="10" t="n">
        <v>664000</v>
      </c>
      <c r="I18" s="10" t="n">
        <v>676000</v>
      </c>
      <c r="J18" s="10" t="n">
        <v>688000</v>
      </c>
    </row>
    <row r="19">
      <c r="B19" s="4" t="inlineStr">
        <is>
          <t>その他販管費</t>
        </is>
      </c>
      <c r="C19" s="13" t="n">
        <v>398000</v>
      </c>
      <c r="D19" s="13" t="n">
        <v>405000</v>
      </c>
      <c r="E19" s="13" t="n">
        <v>419000</v>
      </c>
      <c r="F19" s="10" t="n">
        <v>428507</v>
      </c>
      <c r="G19" s="10" t="n">
        <v>433000</v>
      </c>
      <c r="H19" s="10" t="n">
        <v>437500</v>
      </c>
      <c r="I19" s="10" t="n">
        <v>442000</v>
      </c>
      <c r="J19" s="10" t="n">
        <v>446500</v>
      </c>
    </row>
    <row r="20">
      <c r="B20" s="4" t="inlineStr">
        <is>
          <t>販売費及び一般管理費 合計</t>
        </is>
      </c>
      <c r="C20" s="13">
        <f>SUM(C17:C19)</f>
        <v/>
      </c>
      <c r="D20" s="13">
        <f>SUM(D17:D19)</f>
        <v/>
      </c>
      <c r="E20" s="13">
        <f>SUM(E17:E19)</f>
        <v/>
      </c>
      <c r="F20" s="10">
        <f>SUM(F17:F19)</f>
        <v/>
      </c>
      <c r="G20" s="10">
        <f>SUM(G17:G19)</f>
        <v/>
      </c>
      <c r="H20" s="10">
        <f>SUM(H17:H19)</f>
        <v/>
      </c>
      <c r="I20" s="10">
        <f>SUM(I17:I19)</f>
        <v/>
      </c>
      <c r="J20" s="10">
        <f>SUM(J17:J19)</f>
        <v/>
      </c>
    </row>
    <row r="21">
      <c r="B21" s="7" t="inlineStr">
        <is>
          <t>営業利益（Operating Profit）</t>
        </is>
      </c>
      <c r="C21" s="14">
        <f>C14-C20</f>
        <v/>
      </c>
      <c r="D21" s="14">
        <f>D14-D20</f>
        <v/>
      </c>
      <c r="E21" s="14">
        <f>E14-E20</f>
        <v/>
      </c>
      <c r="F21" s="15">
        <f>F14-F20</f>
        <v/>
      </c>
      <c r="G21" s="15">
        <f>G14-G20</f>
        <v/>
      </c>
      <c r="H21" s="15">
        <f>H14-H20</f>
        <v/>
      </c>
      <c r="I21" s="15">
        <f>I14-I20</f>
        <v/>
      </c>
      <c r="J21" s="15">
        <f>J14-J20</f>
        <v/>
      </c>
    </row>
    <row r="22">
      <c r="B22" s="4" t="inlineStr">
        <is>
          <t>営業利益率</t>
        </is>
      </c>
      <c r="C22" s="16">
        <f>C21/C9</f>
        <v/>
      </c>
      <c r="D22" s="16">
        <f>D21/D9</f>
        <v/>
      </c>
      <c r="E22" s="16">
        <f>E21/E9</f>
        <v/>
      </c>
      <c r="F22" s="12">
        <f>F21/F9</f>
        <v/>
      </c>
      <c r="G22" s="12">
        <f>G21/G9</f>
        <v/>
      </c>
      <c r="H22" s="12">
        <f>H21/H9</f>
        <v/>
      </c>
      <c r="I22" s="12">
        <f>I21/I9</f>
        <v/>
      </c>
      <c r="J22" s="12">
        <f>J21/J9</f>
        <v/>
      </c>
    </row>
    <row r="24">
      <c r="B24" s="4" t="inlineStr">
        <is>
          <t>減価償却費</t>
        </is>
      </c>
      <c r="C24" s="13" t="n">
        <v>92000</v>
      </c>
      <c r="D24" s="13" t="n">
        <v>98000</v>
      </c>
      <c r="E24" s="13" t="n">
        <v>105043</v>
      </c>
      <c r="F24" s="10" t="n">
        <v>113700</v>
      </c>
      <c r="G24" s="10" t="n">
        <v>115700</v>
      </c>
      <c r="H24" s="10" t="n">
        <v>117700</v>
      </c>
      <c r="I24" s="10" t="n">
        <v>119700</v>
      </c>
      <c r="J24" s="10" t="n">
        <v>121700</v>
      </c>
    </row>
    <row r="25">
      <c r="B25" s="7" t="inlineStr">
        <is>
          <t>Adj. EBITDA</t>
        </is>
      </c>
      <c r="C25" s="14">
        <f>C21+C24</f>
        <v/>
      </c>
      <c r="D25" s="14">
        <f>D21+D24</f>
        <v/>
      </c>
      <c r="E25" s="14">
        <f>E21+E24</f>
        <v/>
      </c>
      <c r="F25" s="15">
        <f>F21+F24</f>
        <v/>
      </c>
      <c r="G25" s="15">
        <f>G21+G24</f>
        <v/>
      </c>
      <c r="H25" s="15">
        <f>H21+H24</f>
        <v/>
      </c>
      <c r="I25" s="15">
        <f>I21+I24</f>
        <v/>
      </c>
      <c r="J25" s="15">
        <f>J21+J24</f>
        <v/>
      </c>
    </row>
    <row r="26">
      <c r="B26" s="4" t="inlineStr">
        <is>
          <t>EBITDAマージン</t>
        </is>
      </c>
      <c r="C26" s="16">
        <f>C25/C9</f>
        <v/>
      </c>
      <c r="D26" s="16">
        <f>D25/D9</f>
        <v/>
      </c>
      <c r="E26" s="16">
        <f>E25/E9</f>
        <v/>
      </c>
      <c r="F26" s="12">
        <f>F25/F9</f>
        <v/>
      </c>
      <c r="G26" s="12">
        <f>G25/G9</f>
        <v/>
      </c>
      <c r="H26" s="12">
        <f>H25/H9</f>
        <v/>
      </c>
      <c r="I26" s="12">
        <f>I25/I9</f>
        <v/>
      </c>
      <c r="J26" s="12">
        <f>J25/J9</f>
        <v/>
      </c>
    </row>
    <row r="28">
      <c r="B28" s="4" t="inlineStr">
        <is>
          <t>支払利息</t>
        </is>
      </c>
      <c r="C28" s="13" t="n">
        <v>14000</v>
      </c>
      <c r="D28" s="13" t="n">
        <v>13000</v>
      </c>
      <c r="E28" s="13" t="n">
        <v>12000</v>
      </c>
      <c r="F28" s="10">
        <f>Debt_Schedule!F12</f>
        <v/>
      </c>
      <c r="G28" s="10">
        <f>Debt_Schedule!G12</f>
        <v/>
      </c>
      <c r="H28" s="10">
        <f>Debt_Schedule!H12</f>
        <v/>
      </c>
      <c r="I28" s="10">
        <f>Debt_Schedule!I12</f>
        <v/>
      </c>
      <c r="J28" s="10">
        <f>Debt_Schedule!J12</f>
        <v/>
      </c>
    </row>
    <row r="29">
      <c r="B29" s="4" t="inlineStr">
        <is>
          <t>営業外損益（純額）</t>
        </is>
      </c>
      <c r="C29" s="13" t="n">
        <v>4800</v>
      </c>
      <c r="D29" s="13" t="n">
        <v>5200</v>
      </c>
      <c r="E29" s="13" t="n">
        <v>5500</v>
      </c>
      <c r="F29" s="10" t="n">
        <v>6000</v>
      </c>
      <c r="G29" s="10" t="n">
        <v>6000</v>
      </c>
      <c r="H29" s="10" t="n">
        <v>6000</v>
      </c>
      <c r="I29" s="10" t="n">
        <v>6000</v>
      </c>
      <c r="J29" s="10" t="n">
        <v>6000</v>
      </c>
    </row>
    <row r="30">
      <c r="B30" s="7" t="inlineStr">
        <is>
          <t>経常利益</t>
        </is>
      </c>
      <c r="C30" s="14">
        <f>C21-C28+C29</f>
        <v/>
      </c>
      <c r="D30" s="14">
        <f>D21-D28+D29</f>
        <v/>
      </c>
      <c r="E30" s="14">
        <f>E21-E28+E29</f>
        <v/>
      </c>
      <c r="F30" s="15">
        <f>F21-F28+F29</f>
        <v/>
      </c>
      <c r="G30" s="15">
        <f>G21-G28+G29</f>
        <v/>
      </c>
      <c r="H30" s="15">
        <f>H21-H28+H29</f>
        <v/>
      </c>
      <c r="I30" s="15">
        <f>I21-I28+I29</f>
        <v/>
      </c>
      <c r="J30" s="15">
        <f>J21-J28+J29</f>
        <v/>
      </c>
    </row>
    <row r="31">
      <c r="B31" s="4" t="inlineStr">
        <is>
          <t>法人税等（実効税率31%）</t>
        </is>
      </c>
      <c r="C31" s="13">
        <f>ROUND(C30*0.31,0)</f>
        <v/>
      </c>
      <c r="D31" s="13">
        <f>ROUND(D30*0.31,0)</f>
        <v/>
      </c>
      <c r="E31" s="13">
        <f>ROUND(E30*0.31,0)</f>
        <v/>
      </c>
      <c r="F31" s="10">
        <f>ROUND(F30*0.31,0)</f>
        <v/>
      </c>
      <c r="G31" s="10">
        <f>ROUND(G30*0.31,0)</f>
        <v/>
      </c>
      <c r="H31" s="10">
        <f>ROUND(H30*0.31,0)</f>
        <v/>
      </c>
      <c r="I31" s="10">
        <f>ROUND(I30*0.31,0)</f>
        <v/>
      </c>
      <c r="J31" s="10">
        <f>ROUND(J30*0.31,0)</f>
        <v/>
      </c>
    </row>
    <row r="32">
      <c r="B32" s="7" t="inlineStr">
        <is>
          <t>当期純利益</t>
        </is>
      </c>
      <c r="C32" s="14">
        <f>C30-C31</f>
        <v/>
      </c>
      <c r="D32" s="14">
        <f>D30-D31</f>
        <v/>
      </c>
      <c r="E32" s="14">
        <f>E30-E31</f>
        <v/>
      </c>
      <c r="F32" s="15">
        <f>F30-F31</f>
        <v/>
      </c>
      <c r="G32" s="15">
        <f>G30-G31</f>
        <v/>
      </c>
      <c r="H32" s="15">
        <f>H30-H31</f>
        <v/>
      </c>
      <c r="I32" s="15">
        <f>I30-I31</f>
        <v/>
      </c>
      <c r="J32" s="15">
        <f>J30-J31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6" t="inlineStr">
        <is>
          <t>貸借対照表（Projected B/S）</t>
        </is>
      </c>
    </row>
    <row r="2">
      <c r="A2" s="5" t="inlineStr">
        <is>
          <t>（単位：千円）</t>
        </is>
      </c>
      <c r="H2" s="7" t="inlineStr">
        <is>
          <t>ケース: Base Case</t>
        </is>
      </c>
    </row>
    <row r="4">
      <c r="C4" s="8" t="inlineStr">
        <is>
          <t>FY24</t>
        </is>
      </c>
      <c r="D4" s="8" t="inlineStr">
        <is>
          <t>FY25</t>
        </is>
      </c>
      <c r="E4" s="8" t="inlineStr">
        <is>
          <t>FY26</t>
        </is>
      </c>
      <c r="F4" s="8" t="inlineStr">
        <is>
          <t>FY27</t>
        </is>
      </c>
      <c r="G4" s="8" t="inlineStr">
        <is>
          <t>FY28</t>
        </is>
      </c>
      <c r="H4" s="8" t="inlineStr">
        <is>
          <t>FY29</t>
        </is>
      </c>
      <c r="I4" s="8" t="inlineStr">
        <is>
          <t>FY30</t>
        </is>
      </c>
      <c r="J4" s="8" t="inlineStr">
        <is>
          <t>FY31</t>
        </is>
      </c>
    </row>
    <row r="5">
      <c r="C5" s="9" t="inlineStr">
        <is>
          <t>実績</t>
        </is>
      </c>
      <c r="D5" s="9" t="inlineStr">
        <is>
          <t>実績</t>
        </is>
      </c>
      <c r="E5" s="9" t="inlineStr">
        <is>
          <t>実績</t>
        </is>
      </c>
      <c r="F5" s="9" t="inlineStr">
        <is>
          <t>計画</t>
        </is>
      </c>
      <c r="G5" s="9" t="inlineStr">
        <is>
          <t>計画</t>
        </is>
      </c>
      <c r="H5" s="9" t="inlineStr">
        <is>
          <t>計画</t>
        </is>
      </c>
      <c r="I5" s="9" t="inlineStr">
        <is>
          <t>計画</t>
        </is>
      </c>
      <c r="J5" s="9" t="inlineStr">
        <is>
          <t>計画</t>
        </is>
      </c>
    </row>
    <row r="7">
      <c r="B7" s="4" t="inlineStr">
        <is>
          <t>現金及び預金</t>
        </is>
      </c>
      <c r="C7" s="13" t="n">
        <v>1420000</v>
      </c>
      <c r="D7" s="13" t="n">
        <v>1640000</v>
      </c>
      <c r="E7" s="13" t="n">
        <v>1850000</v>
      </c>
      <c r="F7" s="10" t="n">
        <v>1457150</v>
      </c>
      <c r="G7" s="10" t="n">
        <v>1860969</v>
      </c>
      <c r="H7" s="10" t="n">
        <v>2335018</v>
      </c>
      <c r="I7" s="10" t="n">
        <v>2883007</v>
      </c>
      <c r="J7" s="10" t="n">
        <v>3506456</v>
      </c>
    </row>
    <row r="8">
      <c r="B8" s="4" t="inlineStr">
        <is>
          <t>売上債権</t>
        </is>
      </c>
      <c r="C8" s="13" t="n">
        <v>1540000</v>
      </c>
      <c r="D8" s="13" t="n">
        <v>1650000</v>
      </c>
      <c r="E8" s="13" t="n">
        <v>1750000</v>
      </c>
      <c r="F8" s="10" t="n">
        <v>1836000</v>
      </c>
      <c r="G8" s="10" t="n">
        <v>1905000</v>
      </c>
      <c r="H8" s="10" t="n">
        <v>1973000</v>
      </c>
      <c r="I8" s="10" t="n">
        <v>2043000</v>
      </c>
      <c r="J8" s="10" t="n">
        <v>2114000</v>
      </c>
    </row>
    <row r="9">
      <c r="B9" s="4" t="inlineStr">
        <is>
          <t>その他流動資産</t>
        </is>
      </c>
      <c r="C9" s="13" t="n">
        <v>180000</v>
      </c>
      <c r="D9" s="13" t="n">
        <v>190000</v>
      </c>
      <c r="E9" s="13" t="n">
        <v>200000</v>
      </c>
      <c r="F9" s="10" t="n">
        <v>210000</v>
      </c>
      <c r="G9" s="10" t="n">
        <v>215000</v>
      </c>
      <c r="H9" s="10" t="n">
        <v>220000</v>
      </c>
      <c r="I9" s="10" t="n">
        <v>225000</v>
      </c>
      <c r="J9" s="10" t="n">
        <v>230000</v>
      </c>
    </row>
    <row r="10">
      <c r="B10" s="4" t="inlineStr">
        <is>
          <t>流動資産 合計</t>
        </is>
      </c>
      <c r="C10" s="13">
        <f>SUM(C7:C9)</f>
        <v/>
      </c>
      <c r="D10" s="13">
        <f>SUM(D7:D9)</f>
        <v/>
      </c>
      <c r="E10" s="13">
        <f>SUM(E7:E9)</f>
        <v/>
      </c>
      <c r="F10" s="10">
        <f>SUM(F7:F9)</f>
        <v/>
      </c>
      <c r="G10" s="10">
        <f>SUM(G7:G9)</f>
        <v/>
      </c>
      <c r="H10" s="10">
        <f>SUM(H7:H9)</f>
        <v/>
      </c>
      <c r="I10" s="10">
        <f>SUM(I7:I9)</f>
        <v/>
      </c>
      <c r="J10" s="10">
        <f>SUM(J7:J9)</f>
        <v/>
      </c>
    </row>
    <row r="12">
      <c r="B12" s="4" t="inlineStr">
        <is>
          <t>有形固定資産</t>
        </is>
      </c>
      <c r="C12" s="13" t="n">
        <v>820000</v>
      </c>
      <c r="D12" s="13" t="n">
        <v>840000</v>
      </c>
      <c r="E12" s="13" t="n">
        <v>860000</v>
      </c>
      <c r="F12" s="10" t="n">
        <v>866300</v>
      </c>
      <c r="G12" s="10" t="n">
        <v>870600</v>
      </c>
      <c r="H12" s="10" t="n">
        <v>872900</v>
      </c>
      <c r="I12" s="10" t="n">
        <v>873200</v>
      </c>
      <c r="J12" s="10" t="n">
        <v>871500</v>
      </c>
    </row>
    <row r="13">
      <c r="B13" s="4" t="inlineStr">
        <is>
          <t>のれん（Goodwill）</t>
        </is>
      </c>
      <c r="C13" s="13" t="n">
        <v>0</v>
      </c>
      <c r="D13" s="13" t="n">
        <v>0</v>
      </c>
      <c r="E13" s="13" t="n">
        <v>0</v>
      </c>
      <c r="F13" s="10" t="n">
        <v>5500000</v>
      </c>
      <c r="G13" s="10" t="n">
        <v>5500000</v>
      </c>
      <c r="H13" s="10" t="n">
        <v>5500000</v>
      </c>
      <c r="I13" s="10" t="n">
        <v>5500000</v>
      </c>
      <c r="J13" s="10" t="n">
        <v>5500000</v>
      </c>
    </row>
    <row r="14">
      <c r="B14" s="4" t="inlineStr">
        <is>
          <t>無形固定資産・その他</t>
        </is>
      </c>
      <c r="C14" s="13" t="n">
        <v>260000</v>
      </c>
      <c r="D14" s="13" t="n">
        <v>270000</v>
      </c>
      <c r="E14" s="13" t="n">
        <v>280000</v>
      </c>
      <c r="F14" s="10" t="n">
        <v>290000</v>
      </c>
      <c r="G14" s="10" t="n">
        <v>290000</v>
      </c>
      <c r="H14" s="10" t="n">
        <v>290000</v>
      </c>
      <c r="I14" s="10" t="n">
        <v>290000</v>
      </c>
      <c r="J14" s="10" t="n">
        <v>290000</v>
      </c>
    </row>
    <row r="15">
      <c r="B15" s="4" t="inlineStr">
        <is>
          <t>固定資産 合計</t>
        </is>
      </c>
      <c r="C15" s="13">
        <f>SUM(C12:C14)</f>
        <v/>
      </c>
      <c r="D15" s="13">
        <f>SUM(D12:D14)</f>
        <v/>
      </c>
      <c r="E15" s="13">
        <f>SUM(E12:E14)</f>
        <v/>
      </c>
      <c r="F15" s="10">
        <f>SUM(F12:F14)</f>
        <v/>
      </c>
      <c r="G15" s="10">
        <f>SUM(G12:G14)</f>
        <v/>
      </c>
      <c r="H15" s="10">
        <f>SUM(H12:H14)</f>
        <v/>
      </c>
      <c r="I15" s="10">
        <f>SUM(I12:I14)</f>
        <v/>
      </c>
      <c r="J15" s="10">
        <f>SUM(J12:J14)</f>
        <v/>
      </c>
    </row>
    <row r="16">
      <c r="B16" s="7" t="inlineStr">
        <is>
          <t>資産合計</t>
        </is>
      </c>
      <c r="C16" s="13">
        <f>C10+C15</f>
        <v/>
      </c>
      <c r="D16" s="13">
        <f>D10+D15</f>
        <v/>
      </c>
      <c r="E16" s="13">
        <f>E10+E15</f>
        <v/>
      </c>
      <c r="F16" s="10">
        <f>F10+F15</f>
        <v/>
      </c>
      <c r="G16" s="10">
        <f>G10+G15</f>
        <v/>
      </c>
      <c r="H16" s="10">
        <f>H10+H15</f>
        <v/>
      </c>
      <c r="I16" s="10">
        <f>I10+I15</f>
        <v/>
      </c>
      <c r="J16" s="10">
        <f>J10+J15</f>
        <v/>
      </c>
    </row>
    <row r="18">
      <c r="B18" s="4" t="inlineStr">
        <is>
          <t>仕入債務・未払費用</t>
        </is>
      </c>
      <c r="C18" s="13" t="n">
        <v>1080000</v>
      </c>
      <c r="D18" s="13" t="n">
        <v>1130000</v>
      </c>
      <c r="E18" s="13" t="n">
        <v>1180000</v>
      </c>
      <c r="F18" s="10" t="n">
        <v>1240000</v>
      </c>
      <c r="G18" s="10" t="n">
        <v>1265000</v>
      </c>
      <c r="H18" s="10" t="n">
        <v>1290000</v>
      </c>
      <c r="I18" s="10" t="n">
        <v>1315000</v>
      </c>
      <c r="J18" s="10" t="n">
        <v>1340000</v>
      </c>
    </row>
    <row r="19">
      <c r="B19" s="4" t="inlineStr">
        <is>
          <t>その他負債</t>
        </is>
      </c>
      <c r="C19" s="13" t="n">
        <v>790000</v>
      </c>
      <c r="D19" s="13" t="n">
        <v>550000</v>
      </c>
      <c r="E19" s="13" t="n">
        <v>310000</v>
      </c>
      <c r="F19" s="10" t="n">
        <v>320000</v>
      </c>
      <c r="G19" s="10" t="n">
        <v>320000</v>
      </c>
      <c r="H19" s="10" t="n">
        <v>320000</v>
      </c>
      <c r="I19" s="10" t="n">
        <v>320000</v>
      </c>
      <c r="J19" s="10" t="n">
        <v>320000</v>
      </c>
    </row>
    <row r="20">
      <c r="B20" s="4" t="inlineStr">
        <is>
          <t>有利子負債</t>
        </is>
      </c>
      <c r="C20" s="13" t="n">
        <v>400000</v>
      </c>
      <c r="D20" s="13" t="n">
        <v>350000</v>
      </c>
      <c r="E20" s="13" t="n">
        <v>300000</v>
      </c>
      <c r="F20" s="10">
        <f>Debt_Schedule!F9</f>
        <v/>
      </c>
      <c r="G20" s="10">
        <f>Debt_Schedule!G9</f>
        <v/>
      </c>
      <c r="H20" s="10">
        <f>Debt_Schedule!H9</f>
        <v/>
      </c>
      <c r="I20" s="10">
        <f>Debt_Schedule!I9</f>
        <v/>
      </c>
      <c r="J20" s="10">
        <f>Debt_Schedule!J9</f>
        <v/>
      </c>
    </row>
    <row r="21">
      <c r="B21" s="4" t="inlineStr">
        <is>
          <t>負債合計</t>
        </is>
      </c>
      <c r="C21" s="13">
        <f>SUM(C18:C20)</f>
        <v/>
      </c>
      <c r="D21" s="13">
        <f>SUM(D18:D20)</f>
        <v/>
      </c>
      <c r="E21" s="13">
        <f>SUM(E18:E20)</f>
        <v/>
      </c>
      <c r="F21" s="10">
        <f>SUM(F18:F20)</f>
        <v/>
      </c>
      <c r="G21" s="10">
        <f>SUM(G18:G20)</f>
        <v/>
      </c>
      <c r="H21" s="10">
        <f>SUM(H18:H20)</f>
        <v/>
      </c>
      <c r="I21" s="10">
        <f>SUM(I18:I20)</f>
        <v/>
      </c>
      <c r="J21" s="10">
        <f>SUM(J18:J20)</f>
        <v/>
      </c>
    </row>
    <row r="23">
      <c r="B23" s="7" t="inlineStr">
        <is>
          <t>純資産（Net Assets）</t>
        </is>
      </c>
      <c r="C23" s="13" t="n">
        <v>1950000</v>
      </c>
      <c r="D23" s="13" t="n">
        <v>2560000</v>
      </c>
      <c r="E23" s="13" t="n">
        <v>3150000</v>
      </c>
      <c r="F23" s="10" t="n">
        <v>2749450</v>
      </c>
      <c r="G23" s="10" t="n">
        <v>3856569</v>
      </c>
      <c r="H23" s="10" t="n">
        <v>5030918</v>
      </c>
      <c r="I23" s="10" t="n">
        <v>6279207</v>
      </c>
      <c r="J23" s="10" t="n">
        <v>7601956</v>
      </c>
    </row>
    <row r="24">
      <c r="B24" s="7" t="inlineStr">
        <is>
          <t>負債純資産合計</t>
        </is>
      </c>
      <c r="C24" s="13">
        <f>C21+C23</f>
        <v/>
      </c>
      <c r="D24" s="13">
        <f>D21+D23</f>
        <v/>
      </c>
      <c r="E24" s="13">
        <f>E21+E23</f>
        <v/>
      </c>
      <c r="F24" s="10">
        <f>F21+F23</f>
        <v/>
      </c>
      <c r="G24" s="10">
        <f>G21+G23</f>
        <v/>
      </c>
      <c r="H24" s="10">
        <f>H21+H23</f>
        <v/>
      </c>
      <c r="I24" s="10">
        <f>I21+I23</f>
        <v/>
      </c>
      <c r="J24" s="10">
        <f>J21+J23</f>
        <v/>
      </c>
    </row>
    <row r="26">
      <c r="B26" s="5" t="inlineStr">
        <is>
          <t>※ FY27以降は買収後連結（のれん計上・買収時調整を純資産に含む）。のれんは暫定PPA前の想定額。</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6" t="inlineStr">
        <is>
          <t>キャッシュフロー計算書（Projected C/F）</t>
        </is>
      </c>
    </row>
    <row r="2">
      <c r="A2" s="5" t="inlineStr">
        <is>
          <t>（単位：千円）</t>
        </is>
      </c>
      <c r="H2" s="7" t="inlineStr">
        <is>
          <t>ケース: Base Case</t>
        </is>
      </c>
    </row>
    <row r="4">
      <c r="C4" s="8" t="inlineStr">
        <is>
          <t>FY24</t>
        </is>
      </c>
      <c r="D4" s="8" t="inlineStr">
        <is>
          <t>FY25</t>
        </is>
      </c>
      <c r="E4" s="8" t="inlineStr">
        <is>
          <t>FY26</t>
        </is>
      </c>
      <c r="F4" s="8" t="inlineStr">
        <is>
          <t>FY27</t>
        </is>
      </c>
      <c r="G4" s="8" t="inlineStr">
        <is>
          <t>FY28</t>
        </is>
      </c>
      <c r="H4" s="8" t="inlineStr">
        <is>
          <t>FY29</t>
        </is>
      </c>
      <c r="I4" s="8" t="inlineStr">
        <is>
          <t>FY30</t>
        </is>
      </c>
      <c r="J4" s="8" t="inlineStr">
        <is>
          <t>FY31</t>
        </is>
      </c>
    </row>
    <row r="5">
      <c r="C5" s="9" t="inlineStr">
        <is>
          <t>実績</t>
        </is>
      </c>
      <c r="D5" s="9" t="inlineStr">
        <is>
          <t>実績</t>
        </is>
      </c>
      <c r="E5" s="9" t="inlineStr">
        <is>
          <t>実績</t>
        </is>
      </c>
      <c r="F5" s="9" t="inlineStr">
        <is>
          <t>計画</t>
        </is>
      </c>
      <c r="G5" s="9" t="inlineStr">
        <is>
          <t>計画</t>
        </is>
      </c>
      <c r="H5" s="9" t="inlineStr">
        <is>
          <t>計画</t>
        </is>
      </c>
      <c r="I5" s="9" t="inlineStr">
        <is>
          <t>計画</t>
        </is>
      </c>
      <c r="J5" s="9" t="inlineStr">
        <is>
          <t>計画</t>
        </is>
      </c>
    </row>
    <row r="7">
      <c r="B7" s="4" t="inlineStr">
        <is>
          <t>税引後当期純利益</t>
        </is>
      </c>
      <c r="C7" s="13">
        <f>PL!C32</f>
        <v/>
      </c>
      <c r="D7" s="13">
        <f>PL!D32</f>
        <v/>
      </c>
      <c r="E7" s="13">
        <f>PL!E32</f>
        <v/>
      </c>
      <c r="F7" s="10">
        <f>PL!F32</f>
        <v/>
      </c>
      <c r="G7" s="10">
        <f>PL!G32</f>
        <v/>
      </c>
      <c r="H7" s="10">
        <f>PL!H32</f>
        <v/>
      </c>
      <c r="I7" s="10">
        <f>PL!I32</f>
        <v/>
      </c>
      <c r="J7" s="10">
        <f>PL!J32</f>
        <v/>
      </c>
    </row>
    <row r="8">
      <c r="B8" s="4" t="inlineStr">
        <is>
          <t>減価償却費</t>
        </is>
      </c>
      <c r="C8" s="13">
        <f>PL!C24</f>
        <v/>
      </c>
      <c r="D8" s="13">
        <f>PL!D24</f>
        <v/>
      </c>
      <c r="E8" s="13">
        <f>PL!E24</f>
        <v/>
      </c>
      <c r="F8" s="10">
        <f>PL!F24</f>
        <v/>
      </c>
      <c r="G8" s="10">
        <f>PL!G24</f>
        <v/>
      </c>
      <c r="H8" s="10">
        <f>PL!H24</f>
        <v/>
      </c>
      <c r="I8" s="10">
        <f>PL!I24</f>
        <v/>
      </c>
      <c r="J8" s="10">
        <f>PL!J24</f>
        <v/>
      </c>
    </row>
    <row r="9">
      <c r="B9" s="4" t="inlineStr">
        <is>
          <t>運転資本増減・その他（△増加）</t>
        </is>
      </c>
      <c r="C9" s="13" t="n">
        <v>216432</v>
      </c>
      <c r="D9" s="13" t="n">
        <v>239589</v>
      </c>
      <c r="E9" s="13" t="n">
        <v>274122</v>
      </c>
      <c r="F9" s="10" t="n">
        <v>-36000</v>
      </c>
      <c r="G9" s="10" t="n">
        <v>-49000</v>
      </c>
      <c r="H9" s="10" t="n">
        <v>-48000</v>
      </c>
      <c r="I9" s="10" t="n">
        <v>-50000</v>
      </c>
      <c r="J9" s="10" t="n">
        <v>-51000</v>
      </c>
    </row>
    <row r="10">
      <c r="B10" s="4" t="inlineStr">
        <is>
          <t>営業キャッシュフロー</t>
        </is>
      </c>
      <c r="C10" s="13">
        <f>SUM(C7:C9)</f>
        <v/>
      </c>
      <c r="D10" s="13">
        <f>SUM(D7:D9)</f>
        <v/>
      </c>
      <c r="E10" s="13">
        <f>SUM(E7:E9)</f>
        <v/>
      </c>
      <c r="F10" s="10">
        <f>SUM(F7:F9)</f>
        <v/>
      </c>
      <c r="G10" s="10">
        <f>SUM(G7:G9)</f>
        <v/>
      </c>
      <c r="H10" s="10">
        <f>SUM(H7:H9)</f>
        <v/>
      </c>
      <c r="I10" s="10">
        <f>SUM(I7:I9)</f>
        <v/>
      </c>
      <c r="J10" s="10">
        <f>SUM(J7:J9)</f>
        <v/>
      </c>
    </row>
    <row r="12">
      <c r="B12" s="4" t="inlineStr">
        <is>
          <t>設備投資等（投資CF）</t>
        </is>
      </c>
      <c r="C12" s="13" t="n">
        <v>-100000</v>
      </c>
      <c r="D12" s="13" t="n">
        <v>-110000</v>
      </c>
      <c r="E12" s="13" t="n">
        <v>-115000</v>
      </c>
      <c r="F12" s="10" t="n">
        <v>-120000</v>
      </c>
      <c r="G12" s="10" t="n">
        <v>-120000</v>
      </c>
      <c r="H12" s="10" t="n">
        <v>-120000</v>
      </c>
      <c r="I12" s="10" t="n">
        <v>-120000</v>
      </c>
      <c r="J12" s="10" t="n">
        <v>-120000</v>
      </c>
    </row>
    <row r="13">
      <c r="B13" s="4" t="inlineStr">
        <is>
          <t>フリー・キャッシュフロー（FCF）</t>
        </is>
      </c>
      <c r="C13" s="13">
        <f>C10+C12</f>
        <v/>
      </c>
      <c r="D13" s="13">
        <f>D10+D12</f>
        <v/>
      </c>
      <c r="E13" s="13">
        <f>E10+E12</f>
        <v/>
      </c>
      <c r="F13" s="10">
        <f>F10+F12</f>
        <v/>
      </c>
      <c r="G13" s="10">
        <f>G10+G12</f>
        <v/>
      </c>
      <c r="H13" s="10">
        <f>H10+H12</f>
        <v/>
      </c>
      <c r="I13" s="10">
        <f>I10+I12</f>
        <v/>
      </c>
      <c r="J13" s="10">
        <f>J10+J12</f>
        <v/>
      </c>
    </row>
    <row r="15">
      <c r="B15" s="4" t="inlineStr">
        <is>
          <t>借入金返済</t>
        </is>
      </c>
      <c r="C15" s="13" t="n">
        <v>-50000</v>
      </c>
      <c r="D15" s="13" t="n">
        <v>-50000</v>
      </c>
      <c r="E15" s="13" t="n">
        <v>-50000</v>
      </c>
      <c r="F15" s="10">
        <f>-Debt_Schedule!F8</f>
        <v/>
      </c>
      <c r="G15" s="10">
        <f>-Debt_Schedule!G8</f>
        <v/>
      </c>
      <c r="H15" s="10">
        <f>-Debt_Schedule!H8</f>
        <v/>
      </c>
      <c r="I15" s="10">
        <f>-Debt_Schedule!I8</f>
        <v/>
      </c>
      <c r="J15" s="10">
        <f>-Debt_Schedule!J8</f>
        <v/>
      </c>
    </row>
    <row r="16">
      <c r="B16" s="4" t="inlineStr">
        <is>
          <t>配当・その他財務</t>
        </is>
      </c>
      <c r="C16" s="13" t="n">
        <v>-880000</v>
      </c>
      <c r="D16" s="13" t="n">
        <v>-910000</v>
      </c>
      <c r="E16" s="13" t="n">
        <v>-1045000</v>
      </c>
      <c r="F16" s="10" t="n">
        <v>10000</v>
      </c>
      <c r="G16" s="10" t="n">
        <v>0</v>
      </c>
      <c r="H16" s="10" t="n">
        <v>0</v>
      </c>
      <c r="I16" s="10" t="n">
        <v>0</v>
      </c>
      <c r="J16" s="10" t="n">
        <v>0</v>
      </c>
    </row>
    <row r="17">
      <c r="B17" s="4" t="inlineStr">
        <is>
          <t>財務キャッシュフロー</t>
        </is>
      </c>
      <c r="C17" s="13">
        <f>C15+C16</f>
        <v/>
      </c>
      <c r="D17" s="13">
        <f>D15+D16</f>
        <v/>
      </c>
      <c r="E17" s="13">
        <f>E15+E16</f>
        <v/>
      </c>
      <c r="F17" s="10">
        <f>F15+F16</f>
        <v/>
      </c>
      <c r="G17" s="10">
        <f>G15+G16</f>
        <v/>
      </c>
      <c r="H17" s="10">
        <f>H15+H16</f>
        <v/>
      </c>
      <c r="I17" s="10">
        <f>I15+I16</f>
        <v/>
      </c>
      <c r="J17" s="10">
        <f>J15+J16</f>
        <v/>
      </c>
    </row>
    <row r="19">
      <c r="B19" s="4" t="inlineStr">
        <is>
          <t>現金増減</t>
        </is>
      </c>
      <c r="C19" s="13">
        <f>C13+C17</f>
        <v/>
      </c>
      <c r="D19" s="13">
        <f>D13+D17</f>
        <v/>
      </c>
      <c r="E19" s="13">
        <f>E13+E17</f>
        <v/>
      </c>
      <c r="F19" s="10">
        <f>F13+F17</f>
        <v/>
      </c>
      <c r="G19" s="10">
        <f>G13+G17</f>
        <v/>
      </c>
      <c r="H19" s="10">
        <f>H13+H17</f>
        <v/>
      </c>
      <c r="I19" s="10">
        <f>I13+I17</f>
        <v/>
      </c>
      <c r="J19" s="10">
        <f>J13+J17</f>
        <v/>
      </c>
    </row>
    <row r="20">
      <c r="B20" s="4" t="inlineStr">
        <is>
          <t>期首現金</t>
        </is>
      </c>
      <c r="C20" s="13" t="n">
        <v>1300000</v>
      </c>
      <c r="D20" s="13">
        <f>C21</f>
        <v/>
      </c>
      <c r="E20" s="13">
        <f>D21</f>
        <v/>
      </c>
      <c r="F20" s="10" t="n">
        <v>1100000</v>
      </c>
      <c r="G20" s="10">
        <f>F21</f>
        <v/>
      </c>
      <c r="H20" s="10">
        <f>G21</f>
        <v/>
      </c>
      <c r="I20" s="10">
        <f>H21</f>
        <v/>
      </c>
      <c r="J20" s="10">
        <f>I21</f>
        <v/>
      </c>
    </row>
    <row r="21">
      <c r="B21" s="4" t="inlineStr">
        <is>
          <t>期末現金</t>
        </is>
      </c>
      <c r="C21" s="13">
        <f>C19+C20</f>
        <v/>
      </c>
      <c r="D21" s="13">
        <f>D19+D20</f>
        <v/>
      </c>
      <c r="E21" s="13">
        <f>E19+E20</f>
        <v/>
      </c>
      <c r="F21" s="10">
        <f>F19+F20</f>
        <v/>
      </c>
      <c r="G21" s="10">
        <f>G19+G20</f>
        <v/>
      </c>
      <c r="H21" s="10">
        <f>H19+H20</f>
        <v/>
      </c>
      <c r="I21" s="10">
        <f>I19+I20</f>
        <v/>
      </c>
      <c r="J21" s="10">
        <f>J19+J20</f>
        <v/>
      </c>
    </row>
    <row r="24">
      <c r="B24" s="5" t="inlineStr">
        <is>
          <t>※ FY27期首現金は買収時調整後（取引費用等750,000千円控除後）。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6" t="inlineStr">
        <is>
          <t>KPIドライバー（Operating Assumptions）</t>
        </is>
      </c>
    </row>
    <row r="2">
      <c r="A2" s="5" t="inlineStr">
        <is>
          <t>（単位：名・時間・円・％）</t>
        </is>
      </c>
      <c r="H2" s="7" t="inlineStr">
        <is>
          <t>ケース: Base Case</t>
        </is>
      </c>
    </row>
    <row r="4">
      <c r="C4" s="8" t="inlineStr">
        <is>
          <t>FY24</t>
        </is>
      </c>
      <c r="D4" s="8" t="inlineStr">
        <is>
          <t>FY25</t>
        </is>
      </c>
      <c r="E4" s="8" t="inlineStr">
        <is>
          <t>FY26</t>
        </is>
      </c>
      <c r="F4" s="8" t="inlineStr">
        <is>
          <t>FY27</t>
        </is>
      </c>
      <c r="G4" s="8" t="inlineStr">
        <is>
          <t>FY28</t>
        </is>
      </c>
      <c r="H4" s="8" t="inlineStr">
        <is>
          <t>FY29</t>
        </is>
      </c>
      <c r="I4" s="8" t="inlineStr">
        <is>
          <t>FY30</t>
        </is>
      </c>
      <c r="J4" s="8" t="inlineStr">
        <is>
          <t>FY31</t>
        </is>
      </c>
    </row>
    <row r="5">
      <c r="C5" s="9" t="inlineStr">
        <is>
          <t>実績</t>
        </is>
      </c>
      <c r="D5" s="9" t="inlineStr">
        <is>
          <t>実績</t>
        </is>
      </c>
      <c r="E5" s="9" t="inlineStr">
        <is>
          <t>実績</t>
        </is>
      </c>
      <c r="F5" s="9" t="inlineStr">
        <is>
          <t>計画</t>
        </is>
      </c>
      <c r="G5" s="9" t="inlineStr">
        <is>
          <t>計画</t>
        </is>
      </c>
      <c r="H5" s="9" t="inlineStr">
        <is>
          <t>計画</t>
        </is>
      </c>
      <c r="I5" s="9" t="inlineStr">
        <is>
          <t>計画</t>
        </is>
      </c>
      <c r="J5" s="9" t="inlineStr">
        <is>
          <t>計画</t>
        </is>
      </c>
    </row>
    <row r="7">
      <c r="B7" s="4" t="inlineStr">
        <is>
          <t>在籍登録スタッフ数（名）</t>
        </is>
      </c>
      <c r="C7" s="13" t="n">
        <v>3560</v>
      </c>
      <c r="D7" s="13" t="n">
        <v>3690</v>
      </c>
      <c r="E7" s="13" t="n">
        <v>3800</v>
      </c>
      <c r="F7" s="10" t="n">
        <v>3950</v>
      </c>
      <c r="G7" s="10" t="n">
        <v>4060</v>
      </c>
      <c r="H7" s="10" t="n">
        <v>4165</v>
      </c>
      <c r="I7" s="10" t="n">
        <v>4270</v>
      </c>
      <c r="J7" s="10" t="n">
        <v>4375</v>
      </c>
    </row>
    <row r="8">
      <c r="B8" s="4" t="inlineStr">
        <is>
          <t>稼働率（Utilization）</t>
        </is>
      </c>
      <c r="C8" s="16" t="n">
        <v>0.865</v>
      </c>
      <c r="D8" s="16" t="n">
        <v>0.872</v>
      </c>
      <c r="E8" s="16" t="n">
        <v>0.88</v>
      </c>
      <c r="F8" s="12" t="n">
        <v>0.88</v>
      </c>
      <c r="G8" s="12" t="n">
        <v>0.88</v>
      </c>
      <c r="H8" s="12" t="n">
        <v>0.88</v>
      </c>
      <c r="I8" s="12" t="n">
        <v>0.88</v>
      </c>
      <c r="J8" s="12" t="n">
        <v>0.88</v>
      </c>
    </row>
    <row r="9">
      <c r="B9" s="4" t="inlineStr">
        <is>
          <t>稼働人数（名）</t>
        </is>
      </c>
      <c r="C9" s="13">
        <f>ROUND(C7*C8,0)</f>
        <v/>
      </c>
      <c r="D9" s="13">
        <f>ROUND(D7*D8,0)</f>
        <v/>
      </c>
      <c r="E9" s="13">
        <f>ROUND(E7*E8,0)</f>
        <v/>
      </c>
      <c r="F9" s="10">
        <f>ROUND(F7*F8,0)</f>
        <v/>
      </c>
      <c r="G9" s="10">
        <f>ROUND(G7*G8,0)</f>
        <v/>
      </c>
      <c r="H9" s="10">
        <f>ROUND(H7*H8,0)</f>
        <v/>
      </c>
      <c r="I9" s="10">
        <f>ROUND(I7*I8,0)</f>
        <v/>
      </c>
      <c r="J9" s="10">
        <f>ROUND(J7*J8,0)</f>
        <v/>
      </c>
    </row>
    <row r="10">
      <c r="B10" s="4" t="inlineStr">
        <is>
          <t>月間平均稼働時間（h/名）</t>
        </is>
      </c>
      <c r="C10" s="13" t="n">
        <v>165</v>
      </c>
      <c r="D10" s="13" t="n">
        <v>166</v>
      </c>
      <c r="E10" s="13" t="n">
        <v>166</v>
      </c>
      <c r="F10" s="10" t="n">
        <v>166</v>
      </c>
      <c r="G10" s="10" t="n">
        <v>166</v>
      </c>
      <c r="H10" s="10" t="n">
        <v>166</v>
      </c>
      <c r="I10" s="10" t="n">
        <v>166</v>
      </c>
      <c r="J10" s="10" t="n">
        <v>166</v>
      </c>
    </row>
    <row r="11">
      <c r="B11" s="4" t="inlineStr">
        <is>
          <t>派遣単価（円/h）</t>
        </is>
      </c>
      <c r="C11" s="13" t="n">
        <v>2020</v>
      </c>
      <c r="D11" s="13" t="n">
        <v>2060</v>
      </c>
      <c r="E11" s="13" t="n">
        <v>2100</v>
      </c>
      <c r="F11" s="10" t="n">
        <v>2125</v>
      </c>
      <c r="G11" s="10" t="n">
        <v>2146</v>
      </c>
      <c r="H11" s="10" t="n">
        <v>2167</v>
      </c>
      <c r="I11" s="10" t="n">
        <v>2189</v>
      </c>
      <c r="J11" s="10" t="n">
        <v>2211</v>
      </c>
    </row>
    <row r="12">
      <c r="B12" s="4" t="inlineStr">
        <is>
          <t>スタッフ平均時給（円/h）</t>
        </is>
      </c>
      <c r="C12" s="13" t="n">
        <v>1400</v>
      </c>
      <c r="D12" s="13" t="n">
        <v>1425</v>
      </c>
      <c r="E12" s="13" t="n">
        <v>1450</v>
      </c>
      <c r="F12" s="10" t="n">
        <v>1465</v>
      </c>
      <c r="G12" s="10" t="n">
        <v>1480</v>
      </c>
      <c r="H12" s="10" t="n">
        <v>1495</v>
      </c>
      <c r="I12" s="10" t="n">
        <v>1510</v>
      </c>
      <c r="J12" s="10" t="n">
        <v>1525</v>
      </c>
    </row>
    <row r="13">
      <c r="B13" s="4" t="inlineStr">
        <is>
          <t>法定福利費率</t>
        </is>
      </c>
      <c r="C13" s="16" t="n">
        <v>0.14</v>
      </c>
      <c r="D13" s="16" t="n">
        <v>0.14</v>
      </c>
      <c r="E13" s="16" t="n">
        <v>0.14</v>
      </c>
      <c r="F13" s="12" t="n">
        <v>0.14</v>
      </c>
      <c r="G13" s="12" t="n">
        <v>0.14</v>
      </c>
      <c r="H13" s="12" t="n">
        <v>0.14</v>
      </c>
      <c r="I13" s="12" t="n">
        <v>0.14</v>
      </c>
      <c r="J13" s="12" t="n">
        <v>0.14</v>
      </c>
    </row>
    <row r="14">
      <c r="B14" s="4" t="inlineStr">
        <is>
          <t>新規採用人数（名）</t>
        </is>
      </c>
      <c r="C14" s="13" t="n">
        <v>1050</v>
      </c>
      <c r="D14" s="13" t="n">
        <v>1120</v>
      </c>
      <c r="E14" s="13" t="n">
        <v>1180</v>
      </c>
      <c r="F14" s="10" t="n">
        <v>1220</v>
      </c>
      <c r="G14" s="10" t="n">
        <v>1240</v>
      </c>
      <c r="H14" s="10" t="n">
        <v>1255</v>
      </c>
      <c r="I14" s="10" t="n">
        <v>1270</v>
      </c>
      <c r="J14" s="10" t="n">
        <v>1285</v>
      </c>
    </row>
    <row r="15">
      <c r="B15" s="4" t="inlineStr">
        <is>
          <t>採用単価（CPA・千円/名）</t>
        </is>
      </c>
      <c r="C15" s="13" t="n">
        <v>225</v>
      </c>
      <c r="D15" s="13" t="n">
        <v>238</v>
      </c>
      <c r="E15" s="13" t="n">
        <v>250</v>
      </c>
      <c r="F15" s="10" t="n">
        <v>255</v>
      </c>
      <c r="G15" s="10" t="n">
        <v>260</v>
      </c>
      <c r="H15" s="10" t="n">
        <v>264</v>
      </c>
      <c r="I15" s="10" t="n">
        <v>268</v>
      </c>
      <c r="J15" s="10" t="n">
        <v>272</v>
      </c>
    </row>
    <row r="16">
      <c r="B16" s="4" t="inlineStr">
        <is>
          <t>離職率（年間）</t>
        </is>
      </c>
      <c r="C16" s="16" t="n">
        <v>0.24</v>
      </c>
      <c r="D16" s="16" t="n">
        <v>0.23</v>
      </c>
      <c r="E16" s="16" t="n">
        <v>0.22</v>
      </c>
      <c r="F16" s="12" t="n">
        <v>0.22</v>
      </c>
      <c r="G16" s="12" t="n">
        <v>0.215</v>
      </c>
      <c r="H16" s="12" t="n">
        <v>0.21</v>
      </c>
      <c r="I16" s="12" t="n">
        <v>0.21</v>
      </c>
      <c r="J16" s="12" t="n">
        <v>0.205</v>
      </c>
    </row>
    <row r="18">
      <c r="B18" s="5" t="inlineStr">
        <is>
          <t>※ 稼働人数 = 在籍登録スタッフ数 × 稼働率（四捨五入）</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6" t="inlineStr">
        <is>
          <t>デットスケジュール（シニアローン）</t>
        </is>
      </c>
    </row>
    <row r="2">
      <c r="A2" s="5" t="inlineStr">
        <is>
          <t>（単位：千円）</t>
        </is>
      </c>
      <c r="H2" s="7" t="inlineStr">
        <is>
          <t>ケース: Base Case</t>
        </is>
      </c>
    </row>
    <row r="4">
      <c r="C4" s="8" t="inlineStr">
        <is>
          <t>FY24</t>
        </is>
      </c>
      <c r="D4" s="8" t="inlineStr">
        <is>
          <t>FY25</t>
        </is>
      </c>
      <c r="E4" s="8" t="inlineStr">
        <is>
          <t>FY26</t>
        </is>
      </c>
      <c r="F4" s="8" t="inlineStr">
        <is>
          <t>FY27</t>
        </is>
      </c>
      <c r="G4" s="8" t="inlineStr">
        <is>
          <t>FY28</t>
        </is>
      </c>
      <c r="H4" s="8" t="inlineStr">
        <is>
          <t>FY29</t>
        </is>
      </c>
      <c r="I4" s="8" t="inlineStr">
        <is>
          <t>FY30</t>
        </is>
      </c>
      <c r="J4" s="8" t="inlineStr">
        <is>
          <t>FY31</t>
        </is>
      </c>
    </row>
    <row r="5">
      <c r="C5" s="9" t="inlineStr">
        <is>
          <t>実績</t>
        </is>
      </c>
      <c r="D5" s="9" t="inlineStr">
        <is>
          <t>実績</t>
        </is>
      </c>
      <c r="E5" s="9" t="inlineStr">
        <is>
          <t>実績</t>
        </is>
      </c>
      <c r="F5" s="9" t="inlineStr">
        <is>
          <t>計画</t>
        </is>
      </c>
      <c r="G5" s="9" t="inlineStr">
        <is>
          <t>計画</t>
        </is>
      </c>
      <c r="H5" s="9" t="inlineStr">
        <is>
          <t>計画</t>
        </is>
      </c>
      <c r="I5" s="9" t="inlineStr">
        <is>
          <t>計画</t>
        </is>
      </c>
      <c r="J5" s="9" t="inlineStr">
        <is>
          <t>計画</t>
        </is>
      </c>
    </row>
    <row r="7">
      <c r="B7" s="4" t="inlineStr">
        <is>
          <t>期首残高</t>
        </is>
      </c>
      <c r="F7" s="10" t="n">
        <v>6500000</v>
      </c>
      <c r="G7" s="10">
        <f>F9</f>
        <v/>
      </c>
      <c r="H7" s="10">
        <f>G9</f>
        <v/>
      </c>
      <c r="I7" s="10">
        <f>H9</f>
        <v/>
      </c>
      <c r="J7" s="10">
        <f>I9</f>
        <v/>
      </c>
    </row>
    <row r="8">
      <c r="B8" s="4" t="inlineStr">
        <is>
          <t>約定弁済</t>
        </is>
      </c>
      <c r="F8" s="10" t="n">
        <v>650000</v>
      </c>
      <c r="G8" s="10" t="n">
        <v>650000</v>
      </c>
      <c r="H8" s="10" t="n">
        <v>650000</v>
      </c>
      <c r="I8" s="10" t="n">
        <v>650000</v>
      </c>
      <c r="J8" s="10" t="n">
        <v>650000</v>
      </c>
    </row>
    <row r="9">
      <c r="B9" s="4" t="inlineStr">
        <is>
          <t>期末残高</t>
        </is>
      </c>
      <c r="F9" s="10">
        <f>F7-F8</f>
        <v/>
      </c>
      <c r="G9" s="10">
        <f>G7-G8</f>
        <v/>
      </c>
      <c r="H9" s="10">
        <f>H7-H8</f>
        <v/>
      </c>
      <c r="I9" s="10">
        <f>I7-I8</f>
        <v/>
      </c>
      <c r="J9" s="10">
        <f>J7-J8</f>
        <v/>
      </c>
    </row>
    <row r="10">
      <c r="B10" s="4" t="inlineStr">
        <is>
          <t>平均残高</t>
        </is>
      </c>
      <c r="F10" s="10">
        <f>(F7+F9)/2</f>
        <v/>
      </c>
      <c r="G10" s="10">
        <f>(G7+G9)/2</f>
        <v/>
      </c>
      <c r="H10" s="10">
        <f>(H7+H9)/2</f>
        <v/>
      </c>
      <c r="I10" s="10">
        <f>(I7+I9)/2</f>
        <v/>
      </c>
      <c r="J10" s="10">
        <f>(J7+J9)/2</f>
        <v/>
      </c>
    </row>
    <row r="11">
      <c r="B11" s="4" t="inlineStr">
        <is>
          <t>適用金利（TIBOR+200bp想定）</t>
        </is>
      </c>
      <c r="F11" s="12" t="n">
        <v>0.022</v>
      </c>
      <c r="G11" s="12" t="n">
        <v>0.022</v>
      </c>
      <c r="H11" s="12" t="n">
        <v>0.022</v>
      </c>
      <c r="I11" s="12" t="n">
        <v>0.022</v>
      </c>
      <c r="J11" s="12" t="n">
        <v>0.022</v>
      </c>
    </row>
    <row r="12">
      <c r="B12" s="4" t="inlineStr">
        <is>
          <t>支払利息</t>
        </is>
      </c>
      <c r="F12" s="10">
        <f>ROUND(F10*F11,0)</f>
        <v/>
      </c>
      <c r="G12" s="10">
        <f>ROUND(G10*G11,0)</f>
        <v/>
      </c>
      <c r="H12" s="10">
        <f>ROUND(H10*H11,0)</f>
        <v/>
      </c>
      <c r="I12" s="10">
        <f>ROUND(I10*I11,0)</f>
        <v/>
      </c>
      <c r="J12" s="10">
        <f>ROUND(J10*J11,0)</f>
        <v/>
      </c>
    </row>
    <row r="14">
      <c r="B14" s="5" t="inlineStr">
        <is>
          <t>※ 約定弁済は年650,000千円、最終回（FY33）残額一括。実績年欄は対象外。</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7" t="inlineStr">
        <is>
          <t>損益計算書【旧版 v2.1】※使用しないこと（FY26速報反映前）</t>
        </is>
      </c>
    </row>
    <row r="2">
      <c r="A2" s="5" t="inlineStr">
        <is>
          <t>（単位：千円）</t>
        </is>
      </c>
      <c r="H2" s="7" t="inlineStr">
        <is>
          <t>ケース: Base Case</t>
        </is>
      </c>
    </row>
    <row r="4">
      <c r="C4" s="8" t="inlineStr">
        <is>
          <t>FY24</t>
        </is>
      </c>
      <c r="D4" s="8" t="inlineStr">
        <is>
          <t>FY25</t>
        </is>
      </c>
      <c r="E4" s="8" t="inlineStr">
        <is>
          <t>FY26</t>
        </is>
      </c>
      <c r="F4" s="8" t="inlineStr">
        <is>
          <t>FY27</t>
        </is>
      </c>
      <c r="G4" s="8" t="inlineStr">
        <is>
          <t>FY28</t>
        </is>
      </c>
      <c r="H4" s="8" t="inlineStr">
        <is>
          <t>FY29</t>
        </is>
      </c>
      <c r="I4" s="8" t="inlineStr">
        <is>
          <t>FY30</t>
        </is>
      </c>
      <c r="J4" s="8" t="inlineStr">
        <is>
          <t>FY31</t>
        </is>
      </c>
    </row>
    <row r="5">
      <c r="C5" s="9" t="inlineStr">
        <is>
          <t>実績</t>
        </is>
      </c>
      <c r="D5" s="9" t="inlineStr">
        <is>
          <t>実績</t>
        </is>
      </c>
      <c r="E5" s="9" t="inlineStr">
        <is>
          <t>実績</t>
        </is>
      </c>
      <c r="F5" s="9" t="inlineStr">
        <is>
          <t>計画</t>
        </is>
      </c>
      <c r="G5" s="9" t="inlineStr">
        <is>
          <t>計画</t>
        </is>
      </c>
      <c r="H5" s="9" t="inlineStr">
        <is>
          <t>計画</t>
        </is>
      </c>
      <c r="I5" s="9" t="inlineStr">
        <is>
          <t>計画</t>
        </is>
      </c>
      <c r="J5" s="9" t="inlineStr">
        <is>
          <t>計画</t>
        </is>
      </c>
    </row>
    <row r="7">
      <c r="B7" s="4" t="inlineStr">
        <is>
          <t>派遣事業売上</t>
        </is>
      </c>
      <c r="C7" s="10" t="n">
        <v>11883751</v>
      </c>
      <c r="D7" s="10" t="n">
        <v>12742947</v>
      </c>
      <c r="E7" s="10" t="n">
        <v>13499019</v>
      </c>
      <c r="F7" s="10" t="n">
        <v>14198921</v>
      </c>
      <c r="G7" s="10" t="n">
        <v>14739385</v>
      </c>
      <c r="H7" s="10" t="n">
        <v>15266853</v>
      </c>
      <c r="I7" s="10" t="n">
        <v>15813179</v>
      </c>
      <c r="J7" s="10" t="n">
        <v>16363119</v>
      </c>
    </row>
    <row r="8">
      <c r="B8" s="4" t="inlineStr">
        <is>
          <t>その他営業収入（紹介手数料等）</t>
        </is>
      </c>
      <c r="C8" s="10" t="n">
        <v>140148</v>
      </c>
      <c r="D8" s="10" t="n">
        <v>152470</v>
      </c>
      <c r="E8" s="10" t="n">
        <v>165380</v>
      </c>
      <c r="F8" s="10" t="n">
        <v>169928</v>
      </c>
      <c r="G8" s="10" t="n">
        <v>173700</v>
      </c>
      <c r="H8" s="10" t="n">
        <v>177560</v>
      </c>
      <c r="I8" s="10" t="n">
        <v>181420</v>
      </c>
      <c r="J8" s="10" t="n">
        <v>185280</v>
      </c>
    </row>
    <row r="9">
      <c r="B9" s="4" t="inlineStr">
        <is>
          <t>売上高（Net Sales）</t>
        </is>
      </c>
      <c r="C9" s="10" t="n">
        <v>12023900</v>
      </c>
      <c r="D9" s="10" t="n">
        <v>12895417</v>
      </c>
      <c r="E9" s="10" t="n">
        <v>13664400</v>
      </c>
      <c r="F9" s="10" t="n">
        <v>14368850</v>
      </c>
      <c r="G9" s="10" t="n">
        <v>14913085</v>
      </c>
      <c r="H9" s="10" t="n">
        <v>15444413</v>
      </c>
      <c r="I9" s="10" t="n">
        <v>15994599</v>
      </c>
      <c r="J9" s="10" t="n">
        <v>16548399</v>
      </c>
    </row>
    <row r="11">
      <c r="B11" s="4" t="inlineStr">
        <is>
          <t>スタッフ労務費（法定福利費込）</t>
        </is>
      </c>
      <c r="C11" s="10" t="n">
        <v>9389339</v>
      </c>
      <c r="D11" s="10" t="n">
        <v>10048989</v>
      </c>
      <c r="E11" s="10" t="n">
        <v>10625656</v>
      </c>
      <c r="F11" s="10" t="n">
        <v>11159349</v>
      </c>
      <c r="G11" s="10" t="n">
        <v>11588206</v>
      </c>
      <c r="H11" s="10" t="n">
        <v>12007059</v>
      </c>
      <c r="I11" s="10" t="n">
        <v>12435269</v>
      </c>
      <c r="J11" s="10" t="n">
        <v>12866252</v>
      </c>
    </row>
    <row r="13">
      <c r="B13" s="4" t="inlineStr">
        <is>
          <t>売上原価 合計</t>
        </is>
      </c>
      <c r="C13" s="10" t="n">
        <v>9661469</v>
      </c>
      <c r="D13" s="10" t="n">
        <v>10328839</v>
      </c>
      <c r="E13" s="10" t="n">
        <v>10915156</v>
      </c>
      <c r="F13" s="10" t="n">
        <v>11458499</v>
      </c>
      <c r="G13" s="10" t="n">
        <v>11895076</v>
      </c>
      <c r="H13" s="10" t="n">
        <v>12321649</v>
      </c>
      <c r="I13" s="10" t="n">
        <v>12757579</v>
      </c>
      <c r="J13" s="10" t="n">
        <v>13196282</v>
      </c>
    </row>
    <row r="14">
      <c r="B14" s="4" t="inlineStr">
        <is>
          <t>売上総利益</t>
        </is>
      </c>
      <c r="C14" s="10" t="n">
        <v>2362430</v>
      </c>
      <c r="D14" s="10" t="n">
        <v>2566577</v>
      </c>
      <c r="E14" s="10" t="n">
        <v>2749243</v>
      </c>
      <c r="F14" s="10" t="n">
        <v>2910350</v>
      </c>
      <c r="G14" s="10" t="n">
        <v>3018009</v>
      </c>
      <c r="H14" s="10" t="n">
        <v>3122764</v>
      </c>
      <c r="I14" s="10" t="n">
        <v>3237019</v>
      </c>
      <c r="J14" s="10" t="n">
        <v>3352117</v>
      </c>
    </row>
    <row r="20">
      <c r="B20" s="4" t="inlineStr">
        <is>
          <t>販売費及び一般管理費 合計</t>
        </is>
      </c>
      <c r="C20" s="10" t="n">
        <v>1176576</v>
      </c>
      <c r="D20" s="10" t="n">
        <v>1227055</v>
      </c>
      <c r="E20" s="10" t="n">
        <v>1287310</v>
      </c>
      <c r="F20" s="10" t="n">
        <v>1331320</v>
      </c>
      <c r="G20" s="10" t="n">
        <v>1358141</v>
      </c>
      <c r="H20" s="10" t="n">
        <v>1382671</v>
      </c>
      <c r="I20" s="10" t="n">
        <v>1407317</v>
      </c>
      <c r="J20" s="10" t="n">
        <v>1432079</v>
      </c>
    </row>
    <row r="21">
      <c r="B21" s="4" t="inlineStr">
        <is>
          <t>営業利益（Operating Profit）</t>
        </is>
      </c>
      <c r="C21" s="10" t="n">
        <v>1185853</v>
      </c>
      <c r="D21" s="10" t="n">
        <v>1339522</v>
      </c>
      <c r="E21" s="10" t="n">
        <v>1461933</v>
      </c>
      <c r="F21" s="10" t="n">
        <v>1579029</v>
      </c>
      <c r="G21" s="10" t="n">
        <v>1659868</v>
      </c>
      <c r="H21" s="10" t="n">
        <v>1740092</v>
      </c>
      <c r="I21" s="10" t="n">
        <v>1829701</v>
      </c>
      <c r="J21" s="10" t="n">
        <v>1920038</v>
      </c>
    </row>
    <row r="24">
      <c r="B24" s="4" t="inlineStr">
        <is>
          <t>減価償却費</t>
        </is>
      </c>
      <c r="C24" s="10" t="n">
        <v>88780</v>
      </c>
      <c r="D24" s="10" t="n">
        <v>94570</v>
      </c>
      <c r="E24" s="10" t="n">
        <v>101366</v>
      </c>
      <c r="F24" s="10" t="n">
        <v>109720</v>
      </c>
      <c r="G24" s="10" t="n">
        <v>111650</v>
      </c>
      <c r="H24" s="10" t="n">
        <v>113580</v>
      </c>
      <c r="I24" s="10" t="n">
        <v>115510</v>
      </c>
      <c r="J24" s="10" t="n">
        <v>117440</v>
      </c>
    </row>
    <row r="25">
      <c r="B25" s="4" t="inlineStr">
        <is>
          <t>Adj. EBITDA</t>
        </is>
      </c>
      <c r="C25" s="10" t="n">
        <v>1274633</v>
      </c>
      <c r="D25" s="10" t="n">
        <v>1434092</v>
      </c>
      <c r="E25" s="10" t="n">
        <v>1563300</v>
      </c>
      <c r="F25" s="10" t="n">
        <v>1688750</v>
      </c>
      <c r="G25" s="10" t="n">
        <v>1771519</v>
      </c>
      <c r="H25" s="10" t="n">
        <v>1853673</v>
      </c>
      <c r="I25" s="10" t="n">
        <v>1945212</v>
      </c>
      <c r="J25" s="10" t="n">
        <v>2037478</v>
      </c>
    </row>
    <row r="32">
      <c r="B32" s="4" t="inlineStr">
        <is>
          <t>当期純利益</t>
        </is>
      </c>
      <c r="C32" s="10" t="n">
        <v>812113</v>
      </c>
      <c r="D32" s="10" t="n">
        <v>919076</v>
      </c>
      <c r="E32" s="10" t="n">
        <v>1004405</v>
      </c>
      <c r="F32" s="10" t="n">
        <v>1003069</v>
      </c>
      <c r="G32" s="10" t="n">
        <v>1068369</v>
      </c>
      <c r="H32" s="10" t="n">
        <v>1133246</v>
      </c>
      <c r="I32" s="10" t="n">
        <v>1204598</v>
      </c>
      <c r="J32" s="10" t="n">
        <v>1276452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 t="inlineStr">
        <is>
          <t>（作業用シート・成果物ではありません）</t>
        </is>
      </c>
    </row>
    <row r="3">
      <c r="B3" s="4" t="inlineStr">
        <is>
          <t>チェック: 3,344×166×2,100×12 =</t>
        </is>
      </c>
      <c r="D3" s="4" t="n">
        <v>13988620800</v>
      </c>
    </row>
    <row r="4">
      <c r="B4" s="4" t="inlineStr">
        <is>
          <t>→ PL派遣売上と一致確認済（6/25 IY）</t>
        </is>
      </c>
    </row>
    <row r="6">
      <c r="B6" s="4" t="inlineStr">
        <is>
          <t>TODO: 労務費の福利率 13.8%→14.0%に更新（6/28 反映済）</t>
        </is>
      </c>
    </row>
    <row r="8">
      <c r="B8" s="4" t="inlineStr">
        <is>
          <t>単価改定メモ: トヨタ系 4月改定 +1.2%規定 / デンソー系 10月</t>
        </is>
      </c>
    </row>
    <row r="10">
      <c r="B10" s="4" t="n">
        <v>4233600</v>
      </c>
      <c r="C10" s="4" t="inlineStr">
        <is>
          <t>←年間換算係数（166h×2,125×12）ミス。使わない</t>
        </is>
      </c>
    </row>
    <row r="12">
      <c r="B12" s="4" t="inlineStr">
        <is>
          <t>旧のれん試算 5,656,000 → PPA仮 5,500,000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2026-07-14T08:57:23Z</dcterms:created>
  <dcterms:modified xsi:type="dcterms:W3CDTF">2026-07-14T08:57:23Z</dcterms:modified>
</cp:coreProperties>
</file>