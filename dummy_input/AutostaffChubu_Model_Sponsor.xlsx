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takahiro.kubo/Desktop/JSOL_code/business-plan-verification/dummy_input/"/>
    </mc:Choice>
  </mc:AlternateContent>
  <xr:revisionPtr revIDLastSave="0" documentId="13_ncr:1_{35E3768D-5DFF-E141-95A0-BB627002C4E9}" xr6:coauthVersionLast="47" xr6:coauthVersionMax="47" xr10:uidLastSave="{00000000-0000-0000-0000-000000000000}"/>
  <bookViews>
    <workbookView xWindow="0" yWindow="620" windowWidth="28800" windowHeight="17380" activeTab="5" xr2:uid="{00000000-000D-0000-FFFF-FFFF00000000}"/>
  </bookViews>
  <sheets>
    <sheet name="Cover" sheetId="1" r:id="rId1"/>
    <sheet name="Assumptions" sheetId="2" r:id="rId2"/>
    <sheet name="PL" sheetId="3" r:id="rId3"/>
    <sheet name="BS" sheetId="4" r:id="rId4"/>
    <sheet name="CF" sheetId="5" r:id="rId5"/>
    <sheet name="KPI_Drivers" sheetId="6" r:id="rId6"/>
    <sheet name="Debt_Schedule" sheetId="7" r:id="rId7"/>
    <sheet name="PL_old" sheetId="8" r:id="rId8"/>
    <sheet name="Scratch" sheetId="9" r:id="rId9"/>
    <sheet name="Sheet1"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3" l="1"/>
  <c r="F9" i="7"/>
  <c r="F10" i="7" s="1"/>
  <c r="F12" i="7" s="1"/>
  <c r="F28" i="3" s="1"/>
  <c r="J9" i="6"/>
  <c r="I9" i="6"/>
  <c r="H9" i="6"/>
  <c r="G9" i="6"/>
  <c r="F9" i="6"/>
  <c r="E9" i="6"/>
  <c r="D9" i="6"/>
  <c r="C9" i="6"/>
  <c r="E17" i="5"/>
  <c r="D17" i="5"/>
  <c r="C17" i="5"/>
  <c r="J15" i="5"/>
  <c r="J17" i="5" s="1"/>
  <c r="I15" i="5"/>
  <c r="I17" i="5" s="1"/>
  <c r="H15" i="5"/>
  <c r="H17" i="5" s="1"/>
  <c r="G15" i="5"/>
  <c r="G17" i="5" s="1"/>
  <c r="F15" i="5"/>
  <c r="F17" i="5" s="1"/>
  <c r="J8" i="5"/>
  <c r="I8" i="5"/>
  <c r="H8" i="5"/>
  <c r="G8" i="5"/>
  <c r="F8" i="5"/>
  <c r="E8" i="5"/>
  <c r="D8" i="5"/>
  <c r="C8" i="5"/>
  <c r="E21" i="4"/>
  <c r="E24" i="4" s="1"/>
  <c r="D21" i="4"/>
  <c r="D24" i="4" s="1"/>
  <c r="C21" i="4"/>
  <c r="C24" i="4" s="1"/>
  <c r="F20" i="4"/>
  <c r="F21" i="4" s="1"/>
  <c r="F24" i="4" s="1"/>
  <c r="I16" i="4"/>
  <c r="G16" i="4"/>
  <c r="J15" i="4"/>
  <c r="I15" i="4"/>
  <c r="H15" i="4"/>
  <c r="G15" i="4"/>
  <c r="F15" i="4"/>
  <c r="E15" i="4"/>
  <c r="D15" i="4"/>
  <c r="C15" i="4"/>
  <c r="J10" i="4"/>
  <c r="J16" i="4" s="1"/>
  <c r="I10" i="4"/>
  <c r="H10" i="4"/>
  <c r="H16" i="4" s="1"/>
  <c r="G10" i="4"/>
  <c r="F10" i="4"/>
  <c r="F16" i="4" s="1"/>
  <c r="E10" i="4"/>
  <c r="E16" i="4" s="1"/>
  <c r="D10" i="4"/>
  <c r="D16" i="4" s="1"/>
  <c r="C10" i="4"/>
  <c r="C16" i="4" s="1"/>
  <c r="E20" i="3"/>
  <c r="D20" i="3"/>
  <c r="C20" i="3"/>
  <c r="J17" i="3"/>
  <c r="J20" i="3" s="1"/>
  <c r="I17" i="3"/>
  <c r="I20" i="3" s="1"/>
  <c r="H17" i="3"/>
  <c r="H20" i="3" s="1"/>
  <c r="G17" i="3"/>
  <c r="G20" i="3" s="1"/>
  <c r="F17" i="3"/>
  <c r="F20" i="3" s="1"/>
  <c r="E13" i="3"/>
  <c r="E14" i="3" s="1"/>
  <c r="D13" i="3"/>
  <c r="C13" i="3"/>
  <c r="C14" i="3" s="1"/>
  <c r="J11" i="3"/>
  <c r="J13" i="3" s="1"/>
  <c r="I11" i="3"/>
  <c r="I13" i="3" s="1"/>
  <c r="H11" i="3"/>
  <c r="H13" i="3" s="1"/>
  <c r="G11" i="3"/>
  <c r="G13" i="3" s="1"/>
  <c r="F11" i="3"/>
  <c r="F13" i="3" s="1"/>
  <c r="E9" i="3"/>
  <c r="D9" i="3"/>
  <c r="D14" i="3" s="1"/>
  <c r="C9" i="3"/>
  <c r="J7" i="3"/>
  <c r="J9" i="3" s="1"/>
  <c r="J14" i="3" s="1"/>
  <c r="I7" i="3"/>
  <c r="I9" i="3" s="1"/>
  <c r="I14" i="3" s="1"/>
  <c r="H7" i="3"/>
  <c r="H9" i="3" s="1"/>
  <c r="H14" i="3" s="1"/>
  <c r="G7" i="3"/>
  <c r="G9" i="3" s="1"/>
  <c r="G14" i="3" s="1"/>
  <c r="F7" i="3"/>
  <c r="F9" i="3" s="1"/>
  <c r="E21" i="3" l="1"/>
  <c r="E15" i="3"/>
  <c r="F14" i="3"/>
  <c r="H21" i="3"/>
  <c r="H15" i="3"/>
  <c r="I21" i="3"/>
  <c r="I15" i="3"/>
  <c r="J21" i="3"/>
  <c r="J15" i="3"/>
  <c r="C15" i="3"/>
  <c r="C21" i="3"/>
  <c r="G15" i="3"/>
  <c r="G21" i="3"/>
  <c r="D21" i="3"/>
  <c r="D15" i="3"/>
  <c r="G7" i="7"/>
  <c r="G9" i="7" l="1"/>
  <c r="D30" i="3"/>
  <c r="D25" i="3"/>
  <c r="D26" i="3" s="1"/>
  <c r="D22" i="3"/>
  <c r="G25" i="3"/>
  <c r="G26" i="3" s="1"/>
  <c r="G22" i="3"/>
  <c r="J25" i="3"/>
  <c r="J26" i="3" s="1"/>
  <c r="J22" i="3"/>
  <c r="I25" i="3"/>
  <c r="I26" i="3" s="1"/>
  <c r="I22" i="3"/>
  <c r="H25" i="3"/>
  <c r="H26" i="3" s="1"/>
  <c r="H22" i="3"/>
  <c r="C30" i="3"/>
  <c r="C25" i="3"/>
  <c r="C26" i="3" s="1"/>
  <c r="C22" i="3"/>
  <c r="F15" i="3"/>
  <c r="E30" i="3"/>
  <c r="E22" i="3"/>
  <c r="E25" i="3"/>
  <c r="E26" i="3" s="1"/>
  <c r="F25" i="3" l="1"/>
  <c r="F26" i="3" s="1"/>
  <c r="F22" i="3"/>
  <c r="F30" i="3"/>
  <c r="C31" i="3"/>
  <c r="C32" i="3" s="1"/>
  <c r="C7" i="5" s="1"/>
  <c r="C10" i="5" s="1"/>
  <c r="C13" i="5" s="1"/>
  <c r="C19" i="5" s="1"/>
  <c r="C21" i="5" s="1"/>
  <c r="D20" i="5" s="1"/>
  <c r="H7" i="7"/>
  <c r="G20" i="4"/>
  <c r="G21" i="4" s="1"/>
  <c r="G24" i="4" s="1"/>
  <c r="E32" i="3"/>
  <c r="E7" i="5" s="1"/>
  <c r="E10" i="5" s="1"/>
  <c r="E13" i="5" s="1"/>
  <c r="E19" i="5" s="1"/>
  <c r="E31" i="3"/>
  <c r="D31" i="3"/>
  <c r="D32" i="3" s="1"/>
  <c r="D7" i="5" s="1"/>
  <c r="D10" i="5" s="1"/>
  <c r="D13" i="5" s="1"/>
  <c r="D19" i="5" s="1"/>
  <c r="G10" i="7"/>
  <c r="G12" i="7" s="1"/>
  <c r="G28" i="3" s="1"/>
  <c r="G30" i="3" s="1"/>
  <c r="D21" i="5" l="1"/>
  <c r="E20" i="5" s="1"/>
  <c r="H9" i="7"/>
  <c r="H10" i="7"/>
  <c r="H12" i="7" s="1"/>
  <c r="H28" i="3" s="1"/>
  <c r="H30" i="3" s="1"/>
  <c r="E21" i="5"/>
  <c r="G31" i="3"/>
  <c r="G32" i="3" s="1"/>
  <c r="G7" i="5" s="1"/>
  <c r="G10" i="5" s="1"/>
  <c r="G13" i="5" s="1"/>
  <c r="G19" i="5" s="1"/>
  <c r="F31" i="3"/>
  <c r="F32" i="3" s="1"/>
  <c r="F7" i="5" s="1"/>
  <c r="F10" i="5" s="1"/>
  <c r="F13" i="5" s="1"/>
  <c r="F19" i="5" s="1"/>
  <c r="F21" i="5" s="1"/>
  <c r="G20" i="5" s="1"/>
  <c r="G21" i="5" l="1"/>
  <c r="H20" i="5" s="1"/>
  <c r="H31" i="3"/>
  <c r="H32" i="3" s="1"/>
  <c r="H7" i="5" s="1"/>
  <c r="H10" i="5" s="1"/>
  <c r="H13" i="5" s="1"/>
  <c r="H19" i="5" s="1"/>
  <c r="H21" i="5" s="1"/>
  <c r="I20" i="5" s="1"/>
  <c r="I7" i="7"/>
  <c r="H20" i="4"/>
  <c r="H21" i="4" s="1"/>
  <c r="H24" i="4" s="1"/>
  <c r="I9" i="7" l="1"/>
  <c r="I10" i="7"/>
  <c r="I12" i="7" s="1"/>
  <c r="I28" i="3" s="1"/>
  <c r="I30" i="3" s="1"/>
  <c r="I31" i="3" l="1"/>
  <c r="I32" i="3"/>
  <c r="I7" i="5" s="1"/>
  <c r="I10" i="5" s="1"/>
  <c r="I13" i="5" s="1"/>
  <c r="I19" i="5" s="1"/>
  <c r="I21" i="5" s="1"/>
  <c r="J20" i="5" s="1"/>
  <c r="J7" i="7"/>
  <c r="I20" i="4"/>
  <c r="I21" i="4" s="1"/>
  <c r="I24" i="4" s="1"/>
  <c r="J9" i="7" l="1"/>
  <c r="J20" i="4" s="1"/>
  <c r="J21" i="4" s="1"/>
  <c r="J24" i="4" s="1"/>
  <c r="J10" i="7"/>
  <c r="J12" i="7" s="1"/>
  <c r="J28" i="3" s="1"/>
  <c r="J30" i="3" s="1"/>
  <c r="J31" i="3" l="1"/>
  <c r="J32" i="3" s="1"/>
  <c r="J7" i="5" s="1"/>
  <c r="J10" i="5" s="1"/>
  <c r="J13" i="5" s="1"/>
  <c r="J19" i="5" s="1"/>
  <c r="J21" i="5" s="1"/>
</calcChain>
</file>

<file path=xl/sharedStrings.xml><?xml version="1.0" encoding="utf-8"?>
<sst xmlns="http://schemas.openxmlformats.org/spreadsheetml/2006/main" count="245" uniqueCount="118">
  <si>
    <t>Project Gear</t>
  </si>
  <si>
    <t>株式会社オートスタッフ中部　財務モデル</t>
  </si>
  <si>
    <t>ケース：Sponsor Case（スポンサーケース）</t>
  </si>
  <si>
    <t>作成：日本橋キャピタルパートナーズ株式会社</t>
  </si>
  <si>
    <t>作成日：2026年6月30日（Ver. 3.2）</t>
  </si>
  <si>
    <t>【取扱厳重注意】</t>
  </si>
  <si>
    <t>本資料は貴行における本件検討のためにのみ作成されたものであり、作成者の事前の書面による同意なく第三者への開示・複製を禁じます。</t>
  </si>
  <si>
    <t>本資料に含まれる将来予測は多くの前提・仮定に基づくものであり、その実現性を保証するものではありません。</t>
  </si>
  <si>
    <t>前提条件（Assumptions）</t>
  </si>
  <si>
    <t>（単位：千円）</t>
  </si>
  <si>
    <t>ケース: Sponsor Case</t>
  </si>
  <si>
    <t>FY24</t>
  </si>
  <si>
    <t>FY25</t>
  </si>
  <si>
    <t>FY26</t>
  </si>
  <si>
    <t>FY27</t>
  </si>
  <si>
    <t>FY28</t>
  </si>
  <si>
    <t>FY29</t>
  </si>
  <si>
    <t>FY30</t>
  </si>
  <si>
    <t>FY31</t>
  </si>
  <si>
    <t>実績</t>
  </si>
  <si>
    <t>計画</t>
  </si>
  <si>
    <t>ストラクチャー</t>
  </si>
  <si>
    <t>エンタープライズ・バリュー（EV）</t>
  </si>
  <si>
    <t>エクイティ出資</t>
  </si>
  <si>
    <t>シニアローン総額</t>
  </si>
  <si>
    <t>　うち参加金融機関A行 想定取組額</t>
  </si>
  <si>
    <t>ローン期間（年）</t>
  </si>
  <si>
    <t>適用金利（TIBOR+200bp想定）</t>
  </si>
  <si>
    <t>約定弁済（年・最終回残額一括）</t>
  </si>
  <si>
    <t>クローズ想定</t>
  </si>
  <si>
    <t>2026年9月末</t>
  </si>
  <si>
    <t>オペレーティング前提</t>
  </si>
  <si>
    <t>実効税率</t>
  </si>
  <si>
    <t>売上債権回転日数</t>
  </si>
  <si>
    <t>買収時現金調整（取引費用等）</t>
  </si>
  <si>
    <t>のれん想定額（暫定PPA前）</t>
  </si>
  <si>
    <t>スポンサー提示EBITDA（速報・ティーザー記載）</t>
  </si>
  <si>
    <t>（参考）旧前提 v2.1：シニア7,000,000／金利2.4%　※現行版では使用しない</t>
  </si>
  <si>
    <t>損益計算書（Projected P&amp;L）</t>
  </si>
  <si>
    <t>派遣事業売上</t>
  </si>
  <si>
    <t>その他営業収入（紹介手数料等）</t>
  </si>
  <si>
    <t>売上高（Net Sales）</t>
  </si>
  <si>
    <t>スタッフ労務費（法定福利費込）</t>
  </si>
  <si>
    <t>その他売上原価</t>
  </si>
  <si>
    <t>売上原価 合計</t>
  </si>
  <si>
    <t>売上総利益</t>
  </si>
  <si>
    <t>売上総利益率</t>
  </si>
  <si>
    <t>採用費</t>
  </si>
  <si>
    <t>本社人件費</t>
  </si>
  <si>
    <t>その他販管費</t>
  </si>
  <si>
    <t>販売費及び一般管理費 合計</t>
  </si>
  <si>
    <t>営業利益（Operating Profit）</t>
  </si>
  <si>
    <t>営業利益率</t>
  </si>
  <si>
    <t>減価償却費</t>
  </si>
  <si>
    <t>Adj. EBITDA</t>
  </si>
  <si>
    <t>EBITDAマージン</t>
  </si>
  <si>
    <t>支払利息</t>
  </si>
  <si>
    <t>営業外損益（純額）</t>
  </si>
  <si>
    <t>経常利益</t>
  </si>
  <si>
    <t>法人税等（実効税率31%）</t>
  </si>
  <si>
    <t>当期純利益</t>
  </si>
  <si>
    <t>貸借対照表（Projected B/S）</t>
  </si>
  <si>
    <t>現金及び預金</t>
  </si>
  <si>
    <t>売上債権</t>
  </si>
  <si>
    <t>その他流動資産</t>
  </si>
  <si>
    <t>流動資産 合計</t>
  </si>
  <si>
    <t>有形固定資産</t>
  </si>
  <si>
    <t>のれん（Goodwill）</t>
  </si>
  <si>
    <t>無形固定資産・その他</t>
  </si>
  <si>
    <t>固定資産 合計</t>
  </si>
  <si>
    <t>資産合計</t>
  </si>
  <si>
    <t>仕入債務・未払費用</t>
  </si>
  <si>
    <t>その他負債</t>
  </si>
  <si>
    <t>有利子負債</t>
  </si>
  <si>
    <t>負債合計</t>
  </si>
  <si>
    <t>純資産（Net Assets）</t>
  </si>
  <si>
    <t>負債純資産合計</t>
  </si>
  <si>
    <t>※ FY27以降は買収後連結（のれん計上・買収時調整を純資産に含む）。のれんは暫定PPA前の想定額。</t>
  </si>
  <si>
    <t>キャッシュフロー計算書（Projected C/F）</t>
  </si>
  <si>
    <t>税引後当期純利益</t>
  </si>
  <si>
    <t>運転資本増減・その他（△増加）</t>
  </si>
  <si>
    <t>営業キャッシュフロー</t>
  </si>
  <si>
    <t>設備投資等（投資CF）</t>
  </si>
  <si>
    <t>フリー・キャッシュフロー（FCF）</t>
  </si>
  <si>
    <t>借入金返済</t>
  </si>
  <si>
    <t>配当・その他財務</t>
  </si>
  <si>
    <t>財務キャッシュフロー</t>
  </si>
  <si>
    <t>現金増減</t>
  </si>
  <si>
    <t>期首現金</t>
  </si>
  <si>
    <t>期末現金</t>
  </si>
  <si>
    <t>※ FY27期首現金は買収時調整後（取引費用等750,000千円控除後）。</t>
  </si>
  <si>
    <t>KPIドライバー（Operating Assumptions）</t>
  </si>
  <si>
    <t>（単位：名・時間・円・％）</t>
  </si>
  <si>
    <t>在籍登録スタッフ数（名）</t>
  </si>
  <si>
    <t>稼働率（Utilization）</t>
  </si>
  <si>
    <t>稼働人数（名）</t>
  </si>
  <si>
    <t>月間平均稼働時間（h/名）</t>
  </si>
  <si>
    <t>派遣単価（円/h）</t>
  </si>
  <si>
    <t>スタッフ平均時給（円/h）</t>
  </si>
  <si>
    <t>法定福利費率</t>
  </si>
  <si>
    <t>新規採用人数（名）</t>
  </si>
  <si>
    <t>採用単価（CPA・千円/名）</t>
  </si>
  <si>
    <t>離職率（年間）</t>
  </si>
  <si>
    <t>※ 稼働人数 = 在籍登録スタッフ数 × 稼働率（四捨五入）</t>
  </si>
  <si>
    <t>デットスケジュール（シニアローン）</t>
  </si>
  <si>
    <t>期首残高</t>
  </si>
  <si>
    <t>約定弁済</t>
  </si>
  <si>
    <t>期末残高</t>
  </si>
  <si>
    <t>平均残高</t>
  </si>
  <si>
    <t>※ 約定弁済は年650,000千円、最終回（FY33）残額一括。実績年欄は対象外。</t>
  </si>
  <si>
    <t>損益計算書【旧版 v2.1】※使用しないこと（FY26速報反映前）</t>
  </si>
  <si>
    <t>（作業用シート・成果物ではありません）</t>
  </si>
  <si>
    <t>チェック: 3,344×166×2,100×12 =</t>
  </si>
  <si>
    <t>→ PL派遣売上と一致確認済（6/25 IY）</t>
  </si>
  <si>
    <t>TODO: 労務費の福利率 13.8%→14.0%に更新（6/28 反映済）</t>
  </si>
  <si>
    <t>単価改定メモ: トヨタ系 4月改定 +1.2%規定 / デンソー系 10月</t>
  </si>
  <si>
    <t>←年間換算係数（166h×2,125×12）ミス。使わない</t>
  </si>
  <si>
    <t>旧のれん試算 5,656,000 → PPA仮 5,500,000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</si>
</sst>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0">
    <font>
      <sz val="11"/>
      <color theme="1"/>
      <name val="ＭＳ Ｐゴシック"/>
      <family val="2"/>
      <scheme val="minor"/>
    </font>
    <font>
      <b/>
      <sz val="24"/>
      <color rgb="FF1A4F8B"/>
      <name val="Yu Gothic"/>
      <family val="3"/>
      <charset val="128"/>
    </font>
    <font>
      <b/>
      <sz val="16"/>
      <name val="Yu Gothic"/>
      <family val="3"/>
      <charset val="128"/>
    </font>
    <font>
      <b/>
      <sz val="12"/>
      <name val="Yu Gothic"/>
      <family val="3"/>
      <charset val="128"/>
    </font>
    <font>
      <sz val="10"/>
      <name val="Yu Gothic"/>
      <family val="3"/>
      <charset val="128"/>
    </font>
    <font>
      <sz val="9"/>
      <color rgb="FF737781"/>
      <name val="Yu Gothic"/>
      <family val="3"/>
      <charset val="128"/>
    </font>
    <font>
      <b/>
      <sz val="14"/>
      <color rgb="FF1A4F8B"/>
      <name val="Yu Gothic"/>
      <family val="3"/>
      <charset val="128"/>
    </font>
    <font>
      <b/>
      <sz val="10"/>
      <name val="Yu Gothic"/>
      <family val="3"/>
      <charset val="128"/>
    </font>
    <font>
      <b/>
      <sz val="14"/>
      <color rgb="FFBA1A1A"/>
      <name val="Yu Gothic"/>
      <family val="3"/>
      <charset val="128"/>
    </font>
    <font>
      <sz val="6"/>
      <name val="ＭＳ Ｐゴシック"/>
      <family val="3"/>
      <charset val="128"/>
      <scheme val="minor"/>
    </font>
  </fonts>
  <fills count="4">
    <fill>
      <patternFill patternType="none"/>
    </fill>
    <fill>
      <patternFill patternType="gray125"/>
    </fill>
    <fill>
      <patternFill patternType="solid">
        <fgColor rgb="FFEDEDF3"/>
      </patternFill>
    </fill>
    <fill>
      <patternFill patternType="solid">
        <fgColor rgb="FFF5F5F5"/>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7" fillId="2" borderId="0" xfId="0" applyFont="1" applyFill="1" applyAlignment="1">
      <alignment horizontal="center"/>
    </xf>
    <xf numFmtId="0" fontId="5" fillId="0" borderId="0" xfId="0" applyFont="1" applyAlignment="1">
      <alignment horizontal="center"/>
    </xf>
    <xf numFmtId="3" fontId="4" fillId="0" borderId="0" xfId="0" applyNumberFormat="1" applyFont="1"/>
    <xf numFmtId="1" fontId="4" fillId="0" borderId="0" xfId="0" applyNumberFormat="1" applyFont="1"/>
    <xf numFmtId="176" fontId="4" fillId="0" borderId="0" xfId="0" applyNumberFormat="1" applyFont="1"/>
    <xf numFmtId="3" fontId="4" fillId="3" borderId="0" xfId="0" applyNumberFormat="1" applyFont="1" applyFill="1"/>
    <xf numFmtId="3" fontId="7" fillId="3" borderId="0" xfId="0" applyNumberFormat="1" applyFont="1" applyFill="1"/>
    <xf numFmtId="3" fontId="7" fillId="0" borderId="0" xfId="0" applyNumberFormat="1" applyFont="1"/>
    <xf numFmtId="176" fontId="4" fillId="3" borderId="0" xfId="0" applyNumberFormat="1" applyFont="1" applyFill="1"/>
    <xf numFmtId="0" fontId="8"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B15"/>
  <sheetViews>
    <sheetView workbookViewId="0"/>
  </sheetViews>
  <sheetFormatPr baseColWidth="10" defaultColWidth="8.83203125" defaultRowHeight="14"/>
  <cols>
    <col min="2" max="2" width="90" customWidth="1"/>
  </cols>
  <sheetData>
    <row r="4" spans="2:2" ht="41">
      <c r="B4" s="1" t="s">
        <v>0</v>
      </c>
    </row>
    <row r="6" spans="2:2" ht="25">
      <c r="B6" s="2" t="s">
        <v>1</v>
      </c>
    </row>
    <row r="8" spans="2:2" ht="18">
      <c r="B8" s="3" t="s">
        <v>2</v>
      </c>
    </row>
    <row r="10" spans="2:2" ht="17">
      <c r="B10" s="4" t="s">
        <v>3</v>
      </c>
    </row>
    <row r="11" spans="2:2" ht="17">
      <c r="B11" s="4" t="s">
        <v>4</v>
      </c>
    </row>
    <row r="12" spans="2:2" ht="17">
      <c r="B12" s="4"/>
    </row>
    <row r="13" spans="2:2" ht="15">
      <c r="B13" s="5" t="s">
        <v>5</v>
      </c>
    </row>
    <row r="14" spans="2:2" ht="15">
      <c r="B14" s="5" t="s">
        <v>6</v>
      </c>
    </row>
    <row r="15" spans="2:2" ht="15">
      <c r="B15" s="5" t="s">
        <v>7</v>
      </c>
    </row>
  </sheetData>
  <phoneticPr fontId="9"/>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
  <sheetViews>
    <sheetView workbookViewId="0"/>
  </sheetViews>
  <sheetFormatPr baseColWidth="10" defaultColWidth="8.83203125" defaultRowHeight="14"/>
  <cols>
    <col min="1" max="1" width="3" customWidth="1"/>
    <col min="2" max="2" width="44" customWidth="1"/>
    <col min="3" max="3" width="13" customWidth="1"/>
    <col min="4" max="4" width="16" customWidth="1"/>
    <col min="5" max="10" width="13" customWidth="1"/>
  </cols>
  <sheetData>
    <row r="1" spans="1:10" ht="22">
      <c r="A1" s="6" t="s">
        <v>8</v>
      </c>
    </row>
    <row r="2" spans="1:10" ht="15">
      <c r="A2" s="5" t="s">
        <v>9</v>
      </c>
      <c r="H2" s="7" t="s">
        <v>10</v>
      </c>
    </row>
    <row r="4" spans="1:10" ht="15">
      <c r="C4" s="8" t="s">
        <v>11</v>
      </c>
      <c r="D4" s="8" t="s">
        <v>12</v>
      </c>
      <c r="E4" s="8" t="s">
        <v>13</v>
      </c>
      <c r="F4" s="8" t="s">
        <v>14</v>
      </c>
      <c r="G4" s="8" t="s">
        <v>15</v>
      </c>
      <c r="H4" s="8" t="s">
        <v>16</v>
      </c>
      <c r="I4" s="8" t="s">
        <v>17</v>
      </c>
      <c r="J4" s="8" t="s">
        <v>18</v>
      </c>
    </row>
    <row r="5" spans="1:10" ht="15">
      <c r="C5" s="9" t="s">
        <v>19</v>
      </c>
      <c r="D5" s="9" t="s">
        <v>19</v>
      </c>
      <c r="E5" s="9" t="s">
        <v>19</v>
      </c>
      <c r="F5" s="9" t="s">
        <v>20</v>
      </c>
      <c r="G5" s="9" t="s">
        <v>20</v>
      </c>
      <c r="H5" s="9" t="s">
        <v>20</v>
      </c>
      <c r="I5" s="9" t="s">
        <v>20</v>
      </c>
      <c r="J5" s="9" t="s">
        <v>20</v>
      </c>
    </row>
    <row r="7" spans="1:10" ht="15">
      <c r="B7" s="7" t="s">
        <v>21</v>
      </c>
    </row>
    <row r="8" spans="1:10" ht="17">
      <c r="B8" s="4" t="s">
        <v>22</v>
      </c>
      <c r="D8" s="10">
        <v>12000000</v>
      </c>
    </row>
    <row r="9" spans="1:10" ht="17">
      <c r="B9" s="4" t="s">
        <v>23</v>
      </c>
      <c r="D9" s="10">
        <v>5500000</v>
      </c>
    </row>
    <row r="10" spans="1:10" ht="17">
      <c r="B10" s="4" t="s">
        <v>24</v>
      </c>
      <c r="D10" s="10">
        <v>6500000</v>
      </c>
    </row>
    <row r="11" spans="1:10" ht="17">
      <c r="B11" s="4" t="s">
        <v>25</v>
      </c>
      <c r="D11" s="10">
        <v>2500000</v>
      </c>
    </row>
    <row r="12" spans="1:10" ht="17">
      <c r="B12" s="4" t="s">
        <v>26</v>
      </c>
      <c r="D12" s="11">
        <v>7</v>
      </c>
    </row>
    <row r="13" spans="1:10" ht="17">
      <c r="B13" s="4" t="s">
        <v>27</v>
      </c>
      <c r="D13" s="12">
        <v>2.1999999999999999E-2</v>
      </c>
    </row>
    <row r="14" spans="1:10" ht="17">
      <c r="B14" s="4" t="s">
        <v>28</v>
      </c>
      <c r="D14" s="10">
        <v>650000</v>
      </c>
    </row>
    <row r="15" spans="1:10" ht="17">
      <c r="B15" s="4" t="s">
        <v>29</v>
      </c>
      <c r="D15" s="4" t="s">
        <v>30</v>
      </c>
    </row>
    <row r="16" spans="1:10" ht="17">
      <c r="B16" s="4"/>
    </row>
    <row r="17" spans="2:4" ht="15">
      <c r="B17" s="7" t="s">
        <v>31</v>
      </c>
    </row>
    <row r="18" spans="2:4" ht="17">
      <c r="B18" s="4" t="s">
        <v>32</v>
      </c>
      <c r="D18" s="12">
        <v>0.31</v>
      </c>
    </row>
    <row r="19" spans="2:4" ht="17">
      <c r="B19" s="4" t="s">
        <v>33</v>
      </c>
      <c r="D19" s="11">
        <v>45</v>
      </c>
    </row>
    <row r="20" spans="2:4" ht="17">
      <c r="B20" s="4" t="s">
        <v>34</v>
      </c>
      <c r="D20" s="10">
        <v>-750000</v>
      </c>
    </row>
    <row r="21" spans="2:4" ht="17">
      <c r="B21" s="4" t="s">
        <v>35</v>
      </c>
      <c r="D21" s="10">
        <v>5500000</v>
      </c>
    </row>
    <row r="22" spans="2:4" ht="17">
      <c r="B22" s="4"/>
    </row>
    <row r="23" spans="2:4" ht="17">
      <c r="B23" s="4" t="s">
        <v>36</v>
      </c>
      <c r="D23" s="10">
        <v>1585000</v>
      </c>
    </row>
    <row r="24" spans="2:4" ht="15">
      <c r="B24" s="5" t="s">
        <v>37</v>
      </c>
    </row>
  </sheetData>
  <phoneticPr fontId="9"/>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
  <sheetViews>
    <sheetView workbookViewId="0">
      <selection activeCell="F24" sqref="F24"/>
    </sheetView>
  </sheetViews>
  <sheetFormatPr baseColWidth="10" defaultColWidth="8.83203125" defaultRowHeight="14"/>
  <cols>
    <col min="1" max="1" width="3" customWidth="1"/>
    <col min="2" max="2" width="34" customWidth="1"/>
    <col min="3" max="10" width="13" customWidth="1"/>
  </cols>
  <sheetData>
    <row r="1" spans="1:10" ht="22">
      <c r="A1" s="6" t="s">
        <v>38</v>
      </c>
    </row>
    <row r="2" spans="1:10" ht="15">
      <c r="A2" s="5" t="s">
        <v>9</v>
      </c>
      <c r="H2" s="7" t="s">
        <v>10</v>
      </c>
    </row>
    <row r="4" spans="1:10" ht="15">
      <c r="C4" s="8" t="s">
        <v>11</v>
      </c>
      <c r="D4" s="8" t="s">
        <v>12</v>
      </c>
      <c r="E4" s="8" t="s">
        <v>13</v>
      </c>
      <c r="F4" s="8" t="s">
        <v>14</v>
      </c>
      <c r="G4" s="8" t="s">
        <v>15</v>
      </c>
      <c r="H4" s="8" t="s">
        <v>16</v>
      </c>
      <c r="I4" s="8" t="s">
        <v>17</v>
      </c>
      <c r="J4" s="8" t="s">
        <v>18</v>
      </c>
    </row>
    <row r="5" spans="1:10" ht="15">
      <c r="C5" s="9" t="s">
        <v>19</v>
      </c>
      <c r="D5" s="9" t="s">
        <v>19</v>
      </c>
      <c r="E5" s="9" t="s">
        <v>19</v>
      </c>
      <c r="F5" s="9" t="s">
        <v>20</v>
      </c>
      <c r="G5" s="9" t="s">
        <v>20</v>
      </c>
      <c r="H5" s="9" t="s">
        <v>20</v>
      </c>
      <c r="I5" s="9" t="s">
        <v>20</v>
      </c>
      <c r="J5" s="9" t="s">
        <v>20</v>
      </c>
    </row>
    <row r="7" spans="1:10" ht="17">
      <c r="B7" s="4" t="s">
        <v>39</v>
      </c>
      <c r="C7" s="13">
        <v>12314768</v>
      </c>
      <c r="D7" s="13">
        <v>13205127</v>
      </c>
      <c r="E7" s="13">
        <v>13988621</v>
      </c>
      <c r="F7" s="10">
        <f>ROUND(KPI_Drivers!F9*KPI_Drivers!F10*KPI_Drivers!F11*12/1000,0)</f>
        <v>15090595</v>
      </c>
      <c r="G7" s="10">
        <f>ROUND(KPI_Drivers!G9*KPI_Drivers!G10*KPI_Drivers!G11*12/1000,0)</f>
        <v>16154323</v>
      </c>
      <c r="H7" s="10">
        <f>ROUND(KPI_Drivers!H9*KPI_Drivers!H10*KPI_Drivers!H11*12/1000,0)</f>
        <v>17335093</v>
      </c>
      <c r="I7" s="10">
        <f>ROUND(KPI_Drivers!I9*KPI_Drivers!I10*KPI_Drivers!I11*12/1000,0)</f>
        <v>18456744</v>
      </c>
      <c r="J7" s="10">
        <f>ROUND(KPI_Drivers!J9*KPI_Drivers!J10*KPI_Drivers!J11*12/1000,0)</f>
        <v>19523104</v>
      </c>
    </row>
    <row r="8" spans="1:10" ht="17">
      <c r="B8" s="4" t="s">
        <v>40</v>
      </c>
      <c r="C8" s="13">
        <v>145232</v>
      </c>
      <c r="D8" s="13">
        <v>158000</v>
      </c>
      <c r="E8" s="13">
        <v>171379</v>
      </c>
      <c r="F8" s="10">
        <v>176092</v>
      </c>
      <c r="G8" s="10">
        <v>182000</v>
      </c>
      <c r="H8" s="10">
        <v>188000</v>
      </c>
      <c r="I8" s="10">
        <v>194000</v>
      </c>
      <c r="J8" s="10">
        <v>200000</v>
      </c>
    </row>
    <row r="9" spans="1:10" ht="15">
      <c r="B9" s="7" t="s">
        <v>41</v>
      </c>
      <c r="C9" s="14">
        <f t="shared" ref="C9:J9" si="0">SUM(C7:C8)</f>
        <v>12460000</v>
      </c>
      <c r="D9" s="14">
        <f t="shared" si="0"/>
        <v>13363127</v>
      </c>
      <c r="E9" s="14">
        <f t="shared" si="0"/>
        <v>14160000</v>
      </c>
      <c r="F9" s="15">
        <f t="shared" si="0"/>
        <v>15266687</v>
      </c>
      <c r="G9" s="15">
        <f t="shared" si="0"/>
        <v>16336323</v>
      </c>
      <c r="H9" s="15">
        <f t="shared" si="0"/>
        <v>17523093</v>
      </c>
      <c r="I9" s="15">
        <f t="shared" si="0"/>
        <v>18650744</v>
      </c>
      <c r="J9" s="15">
        <f t="shared" si="0"/>
        <v>19723104</v>
      </c>
    </row>
    <row r="11" spans="1:10" ht="17">
      <c r="B11" s="4" t="s">
        <v>42</v>
      </c>
      <c r="C11" s="13">
        <v>9729886</v>
      </c>
      <c r="D11" s="13">
        <v>10413461</v>
      </c>
      <c r="E11" s="13">
        <v>11011043</v>
      </c>
      <c r="F11" s="10">
        <f>ROUND(KPI_Drivers!F9*KPI_Drivers!F10*KPI_Drivers!F12*(1+KPI_Drivers!F13)*12/1000,0)</f>
        <v>11777011</v>
      </c>
      <c r="G11" s="10">
        <f>ROUND(KPI_Drivers!G9*KPI_Drivers!G10*KPI_Drivers!G12*(1+KPI_Drivers!G13)*12/1000,0)</f>
        <v>12519452</v>
      </c>
      <c r="H11" s="10">
        <f>ROUND(KPI_Drivers!H9*KPI_Drivers!H10*KPI_Drivers!H12*(1+KPI_Drivers!H13)*12/1000,0)</f>
        <v>13340688</v>
      </c>
      <c r="I11" s="10">
        <f>ROUND(KPI_Drivers!I9*KPI_Drivers!I10*KPI_Drivers!I12*(1+KPI_Drivers!I13)*12/1000,0)</f>
        <v>14107670</v>
      </c>
      <c r="J11" s="10">
        <f>ROUND(KPI_Drivers!J9*KPI_Drivers!J10*KPI_Drivers!J12*(1+KPI_Drivers!J13)*12/1000,0)</f>
        <v>14811844</v>
      </c>
    </row>
    <row r="12" spans="1:10" ht="17">
      <c r="B12" s="4" t="s">
        <v>43</v>
      </c>
      <c r="C12" s="13">
        <v>282000</v>
      </c>
      <c r="D12" s="13">
        <v>290000</v>
      </c>
      <c r="E12" s="13">
        <v>300000</v>
      </c>
      <c r="F12" s="10">
        <v>310000</v>
      </c>
      <c r="G12" s="10">
        <v>322000</v>
      </c>
      <c r="H12" s="10">
        <v>334000</v>
      </c>
      <c r="I12" s="10">
        <v>346000</v>
      </c>
      <c r="J12" s="10">
        <v>358000</v>
      </c>
    </row>
    <row r="13" spans="1:10" ht="17">
      <c r="B13" s="4" t="s">
        <v>44</v>
      </c>
      <c r="C13" s="13">
        <f t="shared" ref="C13:J13" si="1">C11+C12</f>
        <v>10011886</v>
      </c>
      <c r="D13" s="13">
        <f t="shared" si="1"/>
        <v>10703461</v>
      </c>
      <c r="E13" s="13">
        <f t="shared" si="1"/>
        <v>11311043</v>
      </c>
      <c r="F13" s="10">
        <f t="shared" si="1"/>
        <v>12087011</v>
      </c>
      <c r="G13" s="10">
        <f t="shared" si="1"/>
        <v>12841452</v>
      </c>
      <c r="H13" s="10">
        <f t="shared" si="1"/>
        <v>13674688</v>
      </c>
      <c r="I13" s="10">
        <f t="shared" si="1"/>
        <v>14453670</v>
      </c>
      <c r="J13" s="10">
        <f t="shared" si="1"/>
        <v>15169844</v>
      </c>
    </row>
    <row r="14" spans="1:10" ht="15">
      <c r="B14" s="7" t="s">
        <v>45</v>
      </c>
      <c r="C14" s="14">
        <f t="shared" ref="C14:J14" si="2">C9-C13</f>
        <v>2448114</v>
      </c>
      <c r="D14" s="14">
        <f t="shared" si="2"/>
        <v>2659666</v>
      </c>
      <c r="E14" s="14">
        <f t="shared" si="2"/>
        <v>2848957</v>
      </c>
      <c r="F14" s="15">
        <f t="shared" si="2"/>
        <v>3179676</v>
      </c>
      <c r="G14" s="15">
        <f t="shared" si="2"/>
        <v>3494871</v>
      </c>
      <c r="H14" s="15">
        <f t="shared" si="2"/>
        <v>3848405</v>
      </c>
      <c r="I14" s="15">
        <f t="shared" si="2"/>
        <v>4197074</v>
      </c>
      <c r="J14" s="15">
        <f t="shared" si="2"/>
        <v>4553260</v>
      </c>
    </row>
    <row r="15" spans="1:10" ht="17">
      <c r="B15" s="4" t="s">
        <v>46</v>
      </c>
      <c r="C15" s="16">
        <f t="shared" ref="C15:J15" si="3">C14/C9</f>
        <v>0.19647784911717495</v>
      </c>
      <c r="D15" s="16">
        <f t="shared" si="3"/>
        <v>0.19903021201549606</v>
      </c>
      <c r="E15" s="16">
        <f t="shared" si="3"/>
        <v>0.20119752824858758</v>
      </c>
      <c r="F15" s="12">
        <f t="shared" si="3"/>
        <v>0.20827544312659321</v>
      </c>
      <c r="G15" s="12">
        <f t="shared" si="3"/>
        <v>0.21393253549161584</v>
      </c>
      <c r="H15" s="12">
        <f t="shared" si="3"/>
        <v>0.21961904784731781</v>
      </c>
      <c r="I15" s="12">
        <f t="shared" si="3"/>
        <v>0.22503520502989049</v>
      </c>
      <c r="J15" s="12">
        <f t="shared" si="3"/>
        <v>0.23085919944446878</v>
      </c>
    </row>
    <row r="17" spans="2:10" ht="17">
      <c r="B17" s="4" t="s">
        <v>47</v>
      </c>
      <c r="C17" s="13">
        <v>236250</v>
      </c>
      <c r="D17" s="13">
        <v>266560</v>
      </c>
      <c r="E17" s="13">
        <v>295000</v>
      </c>
      <c r="F17" s="10">
        <f>KPI_Drivers!F14*KPI_Drivers!F15</f>
        <v>317520</v>
      </c>
      <c r="G17" s="10">
        <f>KPI_Drivers!G14*KPI_Drivers!G15</f>
        <v>330200</v>
      </c>
      <c r="H17" s="10">
        <f>KPI_Drivers!H14*KPI_Drivers!H15</f>
        <v>343040</v>
      </c>
      <c r="I17" s="10">
        <f>KPI_Drivers!I14*KPI_Drivers!I15</f>
        <v>354750</v>
      </c>
      <c r="J17" s="10">
        <f>KPI_Drivers!J14*KPI_Drivers!J15</f>
        <v>366600</v>
      </c>
    </row>
    <row r="18" spans="2:10" ht="17">
      <c r="B18" s="4" t="s">
        <v>48</v>
      </c>
      <c r="C18" s="13">
        <v>585000</v>
      </c>
      <c r="D18" s="13">
        <v>600000</v>
      </c>
      <c r="E18" s="13">
        <v>620000</v>
      </c>
      <c r="F18" s="10">
        <v>645000</v>
      </c>
      <c r="G18" s="10">
        <v>658000</v>
      </c>
      <c r="H18" s="10">
        <v>672000</v>
      </c>
      <c r="I18" s="10">
        <v>686000</v>
      </c>
      <c r="J18" s="10">
        <v>700000</v>
      </c>
    </row>
    <row r="19" spans="2:10" ht="17">
      <c r="B19" s="4" t="s">
        <v>49</v>
      </c>
      <c r="C19" s="13">
        <v>398000</v>
      </c>
      <c r="D19" s="13">
        <v>405000</v>
      </c>
      <c r="E19" s="13">
        <v>419000</v>
      </c>
      <c r="F19" s="10">
        <v>432000</v>
      </c>
      <c r="G19" s="10">
        <v>436000</v>
      </c>
      <c r="H19" s="10">
        <v>440000</v>
      </c>
      <c r="I19" s="10">
        <v>444000</v>
      </c>
      <c r="J19" s="10">
        <v>448000</v>
      </c>
    </row>
    <row r="20" spans="2:10" ht="17">
      <c r="B20" s="4" t="s">
        <v>50</v>
      </c>
      <c r="C20" s="13">
        <f t="shared" ref="C20:J20" si="4">SUM(C17:C19)</f>
        <v>1219250</v>
      </c>
      <c r="D20" s="13">
        <f t="shared" si="4"/>
        <v>1271560</v>
      </c>
      <c r="E20" s="13">
        <f t="shared" si="4"/>
        <v>1334000</v>
      </c>
      <c r="F20" s="10">
        <f t="shared" si="4"/>
        <v>1394520</v>
      </c>
      <c r="G20" s="10">
        <f t="shared" si="4"/>
        <v>1424200</v>
      </c>
      <c r="H20" s="10">
        <f t="shared" si="4"/>
        <v>1455040</v>
      </c>
      <c r="I20" s="10">
        <f t="shared" si="4"/>
        <v>1484750</v>
      </c>
      <c r="J20" s="10">
        <f t="shared" si="4"/>
        <v>1514600</v>
      </c>
    </row>
    <row r="21" spans="2:10" ht="15">
      <c r="B21" s="7" t="s">
        <v>51</v>
      </c>
      <c r="C21" s="14">
        <f t="shared" ref="C21:J21" si="5">C14-C20</f>
        <v>1228864</v>
      </c>
      <c r="D21" s="14">
        <f t="shared" si="5"/>
        <v>1388106</v>
      </c>
      <c r="E21" s="14">
        <f t="shared" si="5"/>
        <v>1514957</v>
      </c>
      <c r="F21" s="15">
        <f>F14-F20</f>
        <v>1785156</v>
      </c>
      <c r="G21" s="15">
        <f t="shared" si="5"/>
        <v>2070671</v>
      </c>
      <c r="H21" s="15">
        <f t="shared" si="5"/>
        <v>2393365</v>
      </c>
      <c r="I21" s="15">
        <f t="shared" si="5"/>
        <v>2712324</v>
      </c>
      <c r="J21" s="15">
        <f t="shared" si="5"/>
        <v>3038660</v>
      </c>
    </row>
    <row r="22" spans="2:10" ht="17">
      <c r="B22" s="4" t="s">
        <v>52</v>
      </c>
      <c r="C22" s="16">
        <f t="shared" ref="C22:J22" si="6">C21/C9</f>
        <v>9.8624719101123595E-2</v>
      </c>
      <c r="D22" s="16">
        <f t="shared" si="6"/>
        <v>0.10387583684567242</v>
      </c>
      <c r="E22" s="16">
        <f t="shared" si="6"/>
        <v>0.10698848870056497</v>
      </c>
      <c r="F22" s="12">
        <f t="shared" si="6"/>
        <v>0.11693145998211661</v>
      </c>
      <c r="G22" s="12">
        <f t="shared" si="6"/>
        <v>0.12675257461547498</v>
      </c>
      <c r="H22" s="12">
        <f t="shared" si="6"/>
        <v>0.1365834787271859</v>
      </c>
      <c r="I22" s="12">
        <f t="shared" si="6"/>
        <v>0.14542712076258191</v>
      </c>
      <c r="J22" s="12">
        <f t="shared" si="6"/>
        <v>0.15406601313870272</v>
      </c>
    </row>
    <row r="24" spans="2:10" ht="17">
      <c r="B24" s="4" t="s">
        <v>53</v>
      </c>
      <c r="C24" s="13">
        <v>92000</v>
      </c>
      <c r="D24" s="13">
        <v>98000</v>
      </c>
      <c r="E24" s="13">
        <v>105043</v>
      </c>
      <c r="F24" s="10">
        <v>113700</v>
      </c>
      <c r="G24" s="10">
        <v>117700</v>
      </c>
      <c r="H24" s="10">
        <v>121700</v>
      </c>
      <c r="I24" s="10">
        <v>125700</v>
      </c>
      <c r="J24" s="10">
        <v>129700</v>
      </c>
    </row>
    <row r="25" spans="2:10" ht="15">
      <c r="B25" s="7" t="s">
        <v>54</v>
      </c>
      <c r="C25" s="14">
        <f t="shared" ref="C25:J25" si="7">C21+C24</f>
        <v>1320864</v>
      </c>
      <c r="D25" s="14">
        <f t="shared" si="7"/>
        <v>1486106</v>
      </c>
      <c r="E25" s="14">
        <f t="shared" si="7"/>
        <v>1620000</v>
      </c>
      <c r="F25" s="15">
        <f t="shared" si="7"/>
        <v>1898856</v>
      </c>
      <c r="G25" s="15">
        <f t="shared" si="7"/>
        <v>2188371</v>
      </c>
      <c r="H25" s="15">
        <f t="shared" si="7"/>
        <v>2515065</v>
      </c>
      <c r="I25" s="15">
        <f t="shared" si="7"/>
        <v>2838024</v>
      </c>
      <c r="J25" s="15">
        <f t="shared" si="7"/>
        <v>3168360</v>
      </c>
    </row>
    <row r="26" spans="2:10" ht="17">
      <c r="B26" s="4" t="s">
        <v>55</v>
      </c>
      <c r="C26" s="16">
        <f t="shared" ref="C26:J26" si="8">C25/C9</f>
        <v>0.10600834670947031</v>
      </c>
      <c r="D26" s="16">
        <f t="shared" si="8"/>
        <v>0.11120944970439928</v>
      </c>
      <c r="E26" s="16">
        <f t="shared" si="8"/>
        <v>0.11440677966101695</v>
      </c>
      <c r="F26" s="12">
        <f t="shared" si="8"/>
        <v>0.12437904831611468</v>
      </c>
      <c r="G26" s="12">
        <f t="shared" si="8"/>
        <v>0.13395737829130827</v>
      </c>
      <c r="H26" s="12">
        <f t="shared" si="8"/>
        <v>0.14352859965988882</v>
      </c>
      <c r="I26" s="12">
        <f t="shared" si="8"/>
        <v>0.15216679827893193</v>
      </c>
      <c r="J26" s="12">
        <f t="shared" si="8"/>
        <v>0.16064205715287005</v>
      </c>
    </row>
    <row r="28" spans="2:10" ht="17">
      <c r="B28" s="4" t="s">
        <v>56</v>
      </c>
      <c r="C28" s="13">
        <v>14000</v>
      </c>
      <c r="D28" s="13">
        <v>13000</v>
      </c>
      <c r="E28" s="13">
        <v>12000</v>
      </c>
      <c r="F28" s="10">
        <f>Debt_Schedule!F12</f>
        <v>135850</v>
      </c>
      <c r="G28" s="10">
        <f>Debt_Schedule!G12</f>
        <v>121550</v>
      </c>
      <c r="H28" s="10">
        <f>Debt_Schedule!H12</f>
        <v>107250</v>
      </c>
      <c r="I28" s="10">
        <f>Debt_Schedule!I12</f>
        <v>92950</v>
      </c>
      <c r="J28" s="10">
        <f>Debt_Schedule!J12</f>
        <v>78650</v>
      </c>
    </row>
    <row r="29" spans="2:10" ht="17">
      <c r="B29" s="4" t="s">
        <v>57</v>
      </c>
      <c r="C29" s="13">
        <v>4800</v>
      </c>
      <c r="D29" s="13">
        <v>5200</v>
      </c>
      <c r="E29" s="13">
        <v>5500</v>
      </c>
      <c r="F29" s="10">
        <v>6000</v>
      </c>
      <c r="G29" s="10">
        <v>6000</v>
      </c>
      <c r="H29" s="10">
        <v>6000</v>
      </c>
      <c r="I29" s="10">
        <v>6000</v>
      </c>
      <c r="J29" s="10">
        <v>6000</v>
      </c>
    </row>
    <row r="30" spans="2:10" ht="15">
      <c r="B30" s="7" t="s">
        <v>58</v>
      </c>
      <c r="C30" s="14">
        <f t="shared" ref="C30:J30" si="9">C21-C28+C29</f>
        <v>1219664</v>
      </c>
      <c r="D30" s="14">
        <f t="shared" si="9"/>
        <v>1380306</v>
      </c>
      <c r="E30" s="14">
        <f t="shared" si="9"/>
        <v>1508457</v>
      </c>
      <c r="F30" s="15">
        <f t="shared" si="9"/>
        <v>1655306</v>
      </c>
      <c r="G30" s="15">
        <f t="shared" si="9"/>
        <v>1955121</v>
      </c>
      <c r="H30" s="15">
        <f t="shared" si="9"/>
        <v>2292115</v>
      </c>
      <c r="I30" s="15">
        <f t="shared" si="9"/>
        <v>2625374</v>
      </c>
      <c r="J30" s="15">
        <f t="shared" si="9"/>
        <v>2966010</v>
      </c>
    </row>
    <row r="31" spans="2:10" ht="17">
      <c r="B31" s="4" t="s">
        <v>59</v>
      </c>
      <c r="C31" s="13">
        <f t="shared" ref="C31:J31" si="10">ROUND(C30*0.31,0)</f>
        <v>378096</v>
      </c>
      <c r="D31" s="13">
        <f t="shared" si="10"/>
        <v>427895</v>
      </c>
      <c r="E31" s="13">
        <f t="shared" si="10"/>
        <v>467622</v>
      </c>
      <c r="F31" s="10">
        <f t="shared" si="10"/>
        <v>513145</v>
      </c>
      <c r="G31" s="10">
        <f t="shared" si="10"/>
        <v>606088</v>
      </c>
      <c r="H31" s="10">
        <f t="shared" si="10"/>
        <v>710556</v>
      </c>
      <c r="I31" s="10">
        <f t="shared" si="10"/>
        <v>813866</v>
      </c>
      <c r="J31" s="10">
        <f t="shared" si="10"/>
        <v>919463</v>
      </c>
    </row>
    <row r="32" spans="2:10" ht="15">
      <c r="B32" s="7" t="s">
        <v>60</v>
      </c>
      <c r="C32" s="14">
        <f t="shared" ref="C32:J32" si="11">C30-C31</f>
        <v>841568</v>
      </c>
      <c r="D32" s="14">
        <f t="shared" si="11"/>
        <v>952411</v>
      </c>
      <c r="E32" s="14">
        <f t="shared" si="11"/>
        <v>1040835</v>
      </c>
      <c r="F32" s="15">
        <f t="shared" si="11"/>
        <v>1142161</v>
      </c>
      <c r="G32" s="15">
        <f t="shared" si="11"/>
        <v>1349033</v>
      </c>
      <c r="H32" s="15">
        <f t="shared" si="11"/>
        <v>1581559</v>
      </c>
      <c r="I32" s="15">
        <f t="shared" si="11"/>
        <v>1811508</v>
      </c>
      <c r="J32" s="15">
        <f t="shared" si="11"/>
        <v>2046547</v>
      </c>
    </row>
  </sheetData>
  <phoneticPr fontId="9"/>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6"/>
  <sheetViews>
    <sheetView workbookViewId="0"/>
  </sheetViews>
  <sheetFormatPr baseColWidth="10" defaultColWidth="8.83203125" defaultRowHeight="14"/>
  <cols>
    <col min="1" max="1" width="3" customWidth="1"/>
    <col min="2" max="2" width="34" customWidth="1"/>
    <col min="3" max="10" width="13" customWidth="1"/>
  </cols>
  <sheetData>
    <row r="1" spans="1:10" ht="22">
      <c r="A1" s="6" t="s">
        <v>61</v>
      </c>
    </row>
    <row r="2" spans="1:10" ht="15">
      <c r="A2" s="5" t="s">
        <v>9</v>
      </c>
      <c r="H2" s="7" t="s">
        <v>10</v>
      </c>
    </row>
    <row r="4" spans="1:10" ht="15">
      <c r="C4" s="8" t="s">
        <v>11</v>
      </c>
      <c r="D4" s="8" t="s">
        <v>12</v>
      </c>
      <c r="E4" s="8" t="s">
        <v>13</v>
      </c>
      <c r="F4" s="8" t="s">
        <v>14</v>
      </c>
      <c r="G4" s="8" t="s">
        <v>15</v>
      </c>
      <c r="H4" s="8" t="s">
        <v>16</v>
      </c>
      <c r="I4" s="8" t="s">
        <v>17</v>
      </c>
      <c r="J4" s="8" t="s">
        <v>18</v>
      </c>
    </row>
    <row r="5" spans="1:10" ht="15">
      <c r="C5" s="9" t="s">
        <v>19</v>
      </c>
      <c r="D5" s="9" t="s">
        <v>19</v>
      </c>
      <c r="E5" s="9" t="s">
        <v>19</v>
      </c>
      <c r="F5" s="9" t="s">
        <v>20</v>
      </c>
      <c r="G5" s="9" t="s">
        <v>20</v>
      </c>
      <c r="H5" s="9" t="s">
        <v>20</v>
      </c>
      <c r="I5" s="9" t="s">
        <v>20</v>
      </c>
      <c r="J5" s="9" t="s">
        <v>20</v>
      </c>
    </row>
    <row r="7" spans="1:10" ht="17">
      <c r="B7" s="4" t="s">
        <v>62</v>
      </c>
      <c r="C7" s="13">
        <v>1420000</v>
      </c>
      <c r="D7" s="13">
        <v>1640000</v>
      </c>
      <c r="E7" s="13">
        <v>1850000</v>
      </c>
      <c r="F7" s="10">
        <v>1523861</v>
      </c>
      <c r="G7" s="10">
        <v>2113594</v>
      </c>
      <c r="H7" s="10">
        <v>2930853</v>
      </c>
      <c r="I7" s="10">
        <v>3989061</v>
      </c>
      <c r="J7" s="10">
        <v>5292308</v>
      </c>
    </row>
    <row r="8" spans="1:10" ht="17">
      <c r="B8" s="4" t="s">
        <v>63</v>
      </c>
      <c r="C8" s="13">
        <v>1540000</v>
      </c>
      <c r="D8" s="13">
        <v>1650000</v>
      </c>
      <c r="E8" s="13">
        <v>1750000</v>
      </c>
      <c r="F8" s="10">
        <v>1882000</v>
      </c>
      <c r="G8" s="10">
        <v>2014000</v>
      </c>
      <c r="H8" s="10">
        <v>2160000</v>
      </c>
      <c r="I8" s="10">
        <v>2299000</v>
      </c>
      <c r="J8" s="10">
        <v>2432000</v>
      </c>
    </row>
    <row r="9" spans="1:10" ht="17">
      <c r="B9" s="4" t="s">
        <v>64</v>
      </c>
      <c r="C9" s="13">
        <v>180000</v>
      </c>
      <c r="D9" s="13">
        <v>190000</v>
      </c>
      <c r="E9" s="13">
        <v>200000</v>
      </c>
      <c r="F9" s="10">
        <v>210000</v>
      </c>
      <c r="G9" s="10">
        <v>215000</v>
      </c>
      <c r="H9" s="10">
        <v>220000</v>
      </c>
      <c r="I9" s="10">
        <v>225000</v>
      </c>
      <c r="J9" s="10">
        <v>230000</v>
      </c>
    </row>
    <row r="10" spans="1:10" ht="17">
      <c r="B10" s="4" t="s">
        <v>65</v>
      </c>
      <c r="C10" s="13">
        <f t="shared" ref="C10:J10" si="0">SUM(C7:C9)</f>
        <v>3140000</v>
      </c>
      <c r="D10" s="13">
        <f t="shared" si="0"/>
        <v>3480000</v>
      </c>
      <c r="E10" s="13">
        <f t="shared" si="0"/>
        <v>3800000</v>
      </c>
      <c r="F10" s="10">
        <f t="shared" si="0"/>
        <v>3615861</v>
      </c>
      <c r="G10" s="10">
        <f t="shared" si="0"/>
        <v>4342594</v>
      </c>
      <c r="H10" s="10">
        <f t="shared" si="0"/>
        <v>5310853</v>
      </c>
      <c r="I10" s="10">
        <f t="shared" si="0"/>
        <v>6513061</v>
      </c>
      <c r="J10" s="10">
        <f t="shared" si="0"/>
        <v>7954308</v>
      </c>
    </row>
    <row r="12" spans="1:10" ht="17">
      <c r="B12" s="4" t="s">
        <v>66</v>
      </c>
      <c r="C12" s="13">
        <v>820000</v>
      </c>
      <c r="D12" s="13">
        <v>840000</v>
      </c>
      <c r="E12" s="13">
        <v>860000</v>
      </c>
      <c r="F12" s="10">
        <v>886300</v>
      </c>
      <c r="G12" s="10">
        <v>908600</v>
      </c>
      <c r="H12" s="10">
        <v>926900</v>
      </c>
      <c r="I12" s="10">
        <v>941200</v>
      </c>
      <c r="J12" s="10">
        <v>951500</v>
      </c>
    </row>
    <row r="13" spans="1:10" ht="17">
      <c r="B13" s="4" t="s">
        <v>67</v>
      </c>
      <c r="C13" s="13">
        <v>0</v>
      </c>
      <c r="D13" s="13">
        <v>0</v>
      </c>
      <c r="E13" s="13">
        <v>0</v>
      </c>
      <c r="F13" s="10">
        <v>5500000</v>
      </c>
      <c r="G13" s="10">
        <v>5500000</v>
      </c>
      <c r="H13" s="10">
        <v>5500000</v>
      </c>
      <c r="I13" s="10">
        <v>5500000</v>
      </c>
      <c r="J13" s="10">
        <v>5500000</v>
      </c>
    </row>
    <row r="14" spans="1:10" ht="17">
      <c r="B14" s="4" t="s">
        <v>68</v>
      </c>
      <c r="C14" s="13">
        <v>260000</v>
      </c>
      <c r="D14" s="13">
        <v>270000</v>
      </c>
      <c r="E14" s="13">
        <v>280000</v>
      </c>
      <c r="F14" s="10">
        <v>290000</v>
      </c>
      <c r="G14" s="10">
        <v>290000</v>
      </c>
      <c r="H14" s="10">
        <v>290000</v>
      </c>
      <c r="I14" s="10">
        <v>290000</v>
      </c>
      <c r="J14" s="10">
        <v>290000</v>
      </c>
    </row>
    <row r="15" spans="1:10" ht="17">
      <c r="B15" s="4" t="s">
        <v>69</v>
      </c>
      <c r="C15" s="13">
        <f t="shared" ref="C15:J15" si="1">SUM(C12:C14)</f>
        <v>1080000</v>
      </c>
      <c r="D15" s="13">
        <f t="shared" si="1"/>
        <v>1110000</v>
      </c>
      <c r="E15" s="13">
        <f t="shared" si="1"/>
        <v>1140000</v>
      </c>
      <c r="F15" s="10">
        <f t="shared" si="1"/>
        <v>6676300</v>
      </c>
      <c r="G15" s="10">
        <f t="shared" si="1"/>
        <v>6698600</v>
      </c>
      <c r="H15" s="10">
        <f t="shared" si="1"/>
        <v>6716900</v>
      </c>
      <c r="I15" s="10">
        <f t="shared" si="1"/>
        <v>6731200</v>
      </c>
      <c r="J15" s="10">
        <f t="shared" si="1"/>
        <v>6741500</v>
      </c>
    </row>
    <row r="16" spans="1:10" ht="17">
      <c r="B16" s="7" t="s">
        <v>70</v>
      </c>
      <c r="C16" s="13">
        <f t="shared" ref="C16:J16" si="2">C10+C15</f>
        <v>4220000</v>
      </c>
      <c r="D16" s="13">
        <f t="shared" si="2"/>
        <v>4590000</v>
      </c>
      <c r="E16" s="13">
        <f t="shared" si="2"/>
        <v>4940000</v>
      </c>
      <c r="F16" s="10">
        <f t="shared" si="2"/>
        <v>10292161</v>
      </c>
      <c r="G16" s="10">
        <f t="shared" si="2"/>
        <v>11041194</v>
      </c>
      <c r="H16" s="10">
        <f t="shared" si="2"/>
        <v>12027753</v>
      </c>
      <c r="I16" s="10">
        <f t="shared" si="2"/>
        <v>13244261</v>
      </c>
      <c r="J16" s="10">
        <f t="shared" si="2"/>
        <v>14695808</v>
      </c>
    </row>
    <row r="18" spans="2:10" ht="17">
      <c r="B18" s="4" t="s">
        <v>71</v>
      </c>
      <c r="C18" s="13">
        <v>1080000</v>
      </c>
      <c r="D18" s="13">
        <v>1130000</v>
      </c>
      <c r="E18" s="13">
        <v>1180000</v>
      </c>
      <c r="F18" s="10">
        <v>1270000</v>
      </c>
      <c r="G18" s="10">
        <v>1320000</v>
      </c>
      <c r="H18" s="10">
        <v>1375000</v>
      </c>
      <c r="I18" s="10">
        <v>1430000</v>
      </c>
      <c r="J18" s="10">
        <v>1485000</v>
      </c>
    </row>
    <row r="19" spans="2:10" ht="17">
      <c r="B19" s="4" t="s">
        <v>72</v>
      </c>
      <c r="C19" s="13">
        <v>790000</v>
      </c>
      <c r="D19" s="13">
        <v>550000</v>
      </c>
      <c r="E19" s="13">
        <v>310000</v>
      </c>
      <c r="F19" s="10">
        <v>320000</v>
      </c>
      <c r="G19" s="10">
        <v>320000</v>
      </c>
      <c r="H19" s="10">
        <v>320000</v>
      </c>
      <c r="I19" s="10">
        <v>320000</v>
      </c>
      <c r="J19" s="10">
        <v>320000</v>
      </c>
    </row>
    <row r="20" spans="2:10" ht="17">
      <c r="B20" s="4" t="s">
        <v>73</v>
      </c>
      <c r="C20" s="13">
        <v>400000</v>
      </c>
      <c r="D20" s="13">
        <v>350000</v>
      </c>
      <c r="E20" s="13">
        <v>300000</v>
      </c>
      <c r="F20" s="10">
        <f>Debt_Schedule!F9</f>
        <v>5850000</v>
      </c>
      <c r="G20" s="10">
        <f>Debt_Schedule!G9</f>
        <v>5200000</v>
      </c>
      <c r="H20" s="10">
        <f>Debt_Schedule!H9</f>
        <v>4550000</v>
      </c>
      <c r="I20" s="10">
        <f>Debt_Schedule!I9</f>
        <v>3900000</v>
      </c>
      <c r="J20" s="10">
        <f>Debt_Schedule!J9</f>
        <v>3250000</v>
      </c>
    </row>
    <row r="21" spans="2:10" ht="17">
      <c r="B21" s="4" t="s">
        <v>74</v>
      </c>
      <c r="C21" s="13">
        <f t="shared" ref="C21:J21" si="3">SUM(C18:C20)</f>
        <v>2270000</v>
      </c>
      <c r="D21" s="13">
        <f t="shared" si="3"/>
        <v>2030000</v>
      </c>
      <c r="E21" s="13">
        <f t="shared" si="3"/>
        <v>1790000</v>
      </c>
      <c r="F21" s="10">
        <f t="shared" si="3"/>
        <v>7440000</v>
      </c>
      <c r="G21" s="10">
        <f t="shared" si="3"/>
        <v>6840000</v>
      </c>
      <c r="H21" s="10">
        <f t="shared" si="3"/>
        <v>6245000</v>
      </c>
      <c r="I21" s="10">
        <f t="shared" si="3"/>
        <v>5650000</v>
      </c>
      <c r="J21" s="10">
        <f t="shared" si="3"/>
        <v>5055000</v>
      </c>
    </row>
    <row r="23" spans="2:10" ht="17">
      <c r="B23" s="7" t="s">
        <v>75</v>
      </c>
      <c r="C23" s="13">
        <v>1950000</v>
      </c>
      <c r="D23" s="13">
        <v>2560000</v>
      </c>
      <c r="E23" s="13">
        <v>3150000</v>
      </c>
      <c r="F23" s="10">
        <v>2852161</v>
      </c>
      <c r="G23" s="10">
        <v>4201194</v>
      </c>
      <c r="H23" s="10">
        <v>5782753</v>
      </c>
      <c r="I23" s="10">
        <v>7594261</v>
      </c>
      <c r="J23" s="10">
        <v>9640808</v>
      </c>
    </row>
    <row r="24" spans="2:10" ht="17">
      <c r="B24" s="7" t="s">
        <v>76</v>
      </c>
      <c r="C24" s="13">
        <f t="shared" ref="C24:J24" si="4">C21+C23</f>
        <v>4220000</v>
      </c>
      <c r="D24" s="13">
        <f t="shared" si="4"/>
        <v>4590000</v>
      </c>
      <c r="E24" s="13">
        <f t="shared" si="4"/>
        <v>4940000</v>
      </c>
      <c r="F24" s="10">
        <f t="shared" si="4"/>
        <v>10292161</v>
      </c>
      <c r="G24" s="10">
        <f t="shared" si="4"/>
        <v>11041194</v>
      </c>
      <c r="H24" s="10">
        <f t="shared" si="4"/>
        <v>12027753</v>
      </c>
      <c r="I24" s="10">
        <f t="shared" si="4"/>
        <v>13244261</v>
      </c>
      <c r="J24" s="10">
        <f t="shared" si="4"/>
        <v>14695808</v>
      </c>
    </row>
    <row r="26" spans="2:10" ht="15">
      <c r="B26" s="5" t="s">
        <v>77</v>
      </c>
    </row>
  </sheetData>
  <phoneticPr fontId="9"/>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4"/>
  <sheetViews>
    <sheetView workbookViewId="0">
      <selection activeCell="F12" sqref="F12"/>
    </sheetView>
  </sheetViews>
  <sheetFormatPr baseColWidth="10" defaultColWidth="8.83203125" defaultRowHeight="14"/>
  <cols>
    <col min="1" max="1" width="3" customWidth="1"/>
    <col min="2" max="2" width="34" customWidth="1"/>
    <col min="3" max="10" width="13" customWidth="1"/>
  </cols>
  <sheetData>
    <row r="1" spans="1:10" ht="22">
      <c r="A1" s="6" t="s">
        <v>78</v>
      </c>
    </row>
    <row r="2" spans="1:10" ht="15">
      <c r="A2" s="5" t="s">
        <v>9</v>
      </c>
      <c r="H2" s="7" t="s">
        <v>10</v>
      </c>
    </row>
    <row r="4" spans="1:10" ht="15">
      <c r="C4" s="8" t="s">
        <v>11</v>
      </c>
      <c r="D4" s="8" t="s">
        <v>12</v>
      </c>
      <c r="E4" s="8" t="s">
        <v>13</v>
      </c>
      <c r="F4" s="8" t="s">
        <v>14</v>
      </c>
      <c r="G4" s="8" t="s">
        <v>15</v>
      </c>
      <c r="H4" s="8" t="s">
        <v>16</v>
      </c>
      <c r="I4" s="8" t="s">
        <v>17</v>
      </c>
      <c r="J4" s="8" t="s">
        <v>18</v>
      </c>
    </row>
    <row r="5" spans="1:10" ht="15">
      <c r="C5" s="9" t="s">
        <v>19</v>
      </c>
      <c r="D5" s="9" t="s">
        <v>19</v>
      </c>
      <c r="E5" s="9" t="s">
        <v>19</v>
      </c>
      <c r="F5" s="9" t="s">
        <v>20</v>
      </c>
      <c r="G5" s="9" t="s">
        <v>20</v>
      </c>
      <c r="H5" s="9" t="s">
        <v>20</v>
      </c>
      <c r="I5" s="9" t="s">
        <v>20</v>
      </c>
      <c r="J5" s="9" t="s">
        <v>20</v>
      </c>
    </row>
    <row r="7" spans="1:10" ht="17">
      <c r="B7" s="4" t="s">
        <v>79</v>
      </c>
      <c r="C7" s="13">
        <f>PL!C32</f>
        <v>841568</v>
      </c>
      <c r="D7" s="13">
        <f>PL!D32</f>
        <v>952411</v>
      </c>
      <c r="E7" s="13">
        <f>PL!E32</f>
        <v>1040835</v>
      </c>
      <c r="F7" s="10">
        <f>PL!F32</f>
        <v>1142161</v>
      </c>
      <c r="G7" s="10">
        <f>PL!G32</f>
        <v>1349033</v>
      </c>
      <c r="H7" s="10">
        <f>PL!H32</f>
        <v>1581559</v>
      </c>
      <c r="I7" s="10">
        <f>PL!I32</f>
        <v>1811508</v>
      </c>
      <c r="J7" s="10">
        <f>PL!J32</f>
        <v>2046547</v>
      </c>
    </row>
    <row r="8" spans="1:10" ht="17">
      <c r="B8" s="4" t="s">
        <v>53</v>
      </c>
      <c r="C8" s="13">
        <f>PL!C24</f>
        <v>92000</v>
      </c>
      <c r="D8" s="13">
        <f>PL!D24</f>
        <v>98000</v>
      </c>
      <c r="E8" s="13">
        <f>PL!E24</f>
        <v>105043</v>
      </c>
      <c r="F8" s="10">
        <f>PL!F24</f>
        <v>113700</v>
      </c>
      <c r="G8" s="10">
        <f>PL!G24</f>
        <v>117700</v>
      </c>
      <c r="H8" s="10">
        <f>PL!H24</f>
        <v>121700</v>
      </c>
      <c r="I8" s="10">
        <f>PL!I24</f>
        <v>125700</v>
      </c>
      <c r="J8" s="10">
        <f>PL!J24</f>
        <v>129700</v>
      </c>
    </row>
    <row r="9" spans="1:10" ht="17">
      <c r="B9" s="4" t="s">
        <v>80</v>
      </c>
      <c r="C9" s="13">
        <v>216432</v>
      </c>
      <c r="D9" s="13">
        <v>239589</v>
      </c>
      <c r="E9" s="13">
        <v>274122</v>
      </c>
      <c r="F9" s="10">
        <v>-52000</v>
      </c>
      <c r="G9" s="10">
        <v>-87000</v>
      </c>
      <c r="H9" s="10">
        <v>-96000</v>
      </c>
      <c r="I9" s="10">
        <v>-89000</v>
      </c>
      <c r="J9" s="10">
        <v>-83000</v>
      </c>
    </row>
    <row r="10" spans="1:10" ht="17">
      <c r="B10" s="4" t="s">
        <v>81</v>
      </c>
      <c r="C10" s="13">
        <f t="shared" ref="C10:J10" si="0">SUM(C7:C9)</f>
        <v>1150000</v>
      </c>
      <c r="D10" s="13">
        <f t="shared" si="0"/>
        <v>1290000</v>
      </c>
      <c r="E10" s="13">
        <f t="shared" si="0"/>
        <v>1420000</v>
      </c>
      <c r="F10" s="10">
        <f t="shared" si="0"/>
        <v>1203861</v>
      </c>
      <c r="G10" s="10">
        <f t="shared" si="0"/>
        <v>1379733</v>
      </c>
      <c r="H10" s="10">
        <f t="shared" si="0"/>
        <v>1607259</v>
      </c>
      <c r="I10" s="10">
        <f t="shared" si="0"/>
        <v>1848208</v>
      </c>
      <c r="J10" s="10">
        <f t="shared" si="0"/>
        <v>2093247</v>
      </c>
    </row>
    <row r="12" spans="1:10" ht="17">
      <c r="B12" s="4" t="s">
        <v>82</v>
      </c>
      <c r="C12" s="13">
        <v>-100000</v>
      </c>
      <c r="D12" s="13">
        <v>-110000</v>
      </c>
      <c r="E12" s="13">
        <v>-115000</v>
      </c>
      <c r="F12" s="10">
        <v>-140000</v>
      </c>
      <c r="G12" s="10">
        <v>-140000</v>
      </c>
      <c r="H12" s="10">
        <v>-140000</v>
      </c>
      <c r="I12" s="10">
        <v>-140000</v>
      </c>
      <c r="J12" s="10">
        <v>-140000</v>
      </c>
    </row>
    <row r="13" spans="1:10" ht="17">
      <c r="B13" s="4" t="s">
        <v>83</v>
      </c>
      <c r="C13" s="13">
        <f t="shared" ref="C13:J13" si="1">C10+C12</f>
        <v>1050000</v>
      </c>
      <c r="D13" s="13">
        <f t="shared" si="1"/>
        <v>1180000</v>
      </c>
      <c r="E13" s="13">
        <f t="shared" si="1"/>
        <v>1305000</v>
      </c>
      <c r="F13" s="10">
        <f t="shared" si="1"/>
        <v>1063861</v>
      </c>
      <c r="G13" s="10">
        <f t="shared" si="1"/>
        <v>1239733</v>
      </c>
      <c r="H13" s="10">
        <f t="shared" si="1"/>
        <v>1467259</v>
      </c>
      <c r="I13" s="10">
        <f t="shared" si="1"/>
        <v>1708208</v>
      </c>
      <c r="J13" s="10">
        <f t="shared" si="1"/>
        <v>1953247</v>
      </c>
    </row>
    <row r="15" spans="1:10" ht="17">
      <c r="B15" s="4" t="s">
        <v>84</v>
      </c>
      <c r="C15" s="13">
        <v>-50000</v>
      </c>
      <c r="D15" s="13">
        <v>-50000</v>
      </c>
      <c r="E15" s="13">
        <v>-50000</v>
      </c>
      <c r="F15" s="10">
        <f>-Debt_Schedule!F8</f>
        <v>-650000</v>
      </c>
      <c r="G15" s="10">
        <f>-Debt_Schedule!G8</f>
        <v>-650000</v>
      </c>
      <c r="H15" s="10">
        <f>-Debt_Schedule!H8</f>
        <v>-650000</v>
      </c>
      <c r="I15" s="10">
        <f>-Debt_Schedule!I8</f>
        <v>-650000</v>
      </c>
      <c r="J15" s="10">
        <f>-Debt_Schedule!J8</f>
        <v>-650000</v>
      </c>
    </row>
    <row r="16" spans="1:10" ht="17">
      <c r="B16" s="4" t="s">
        <v>85</v>
      </c>
      <c r="C16" s="13">
        <v>-880000</v>
      </c>
      <c r="D16" s="13">
        <v>-910000</v>
      </c>
      <c r="E16" s="13">
        <v>-1045000</v>
      </c>
      <c r="F16" s="10">
        <v>10000</v>
      </c>
      <c r="G16" s="10">
        <v>0</v>
      </c>
      <c r="H16" s="10">
        <v>0</v>
      </c>
      <c r="I16" s="10">
        <v>0</v>
      </c>
      <c r="J16" s="10">
        <v>0</v>
      </c>
    </row>
    <row r="17" spans="2:10" ht="17">
      <c r="B17" s="4" t="s">
        <v>86</v>
      </c>
      <c r="C17" s="13">
        <f t="shared" ref="C17:J17" si="2">C15+C16</f>
        <v>-930000</v>
      </c>
      <c r="D17" s="13">
        <f t="shared" si="2"/>
        <v>-960000</v>
      </c>
      <c r="E17" s="13">
        <f t="shared" si="2"/>
        <v>-1095000</v>
      </c>
      <c r="F17" s="10">
        <f t="shared" si="2"/>
        <v>-640000</v>
      </c>
      <c r="G17" s="10">
        <f t="shared" si="2"/>
        <v>-650000</v>
      </c>
      <c r="H17" s="10">
        <f t="shared" si="2"/>
        <v>-650000</v>
      </c>
      <c r="I17" s="10">
        <f t="shared" si="2"/>
        <v>-650000</v>
      </c>
      <c r="J17" s="10">
        <f t="shared" si="2"/>
        <v>-650000</v>
      </c>
    </row>
    <row r="19" spans="2:10" ht="17">
      <c r="B19" s="4" t="s">
        <v>87</v>
      </c>
      <c r="C19" s="13">
        <f t="shared" ref="C19:J19" si="3">C13+C17</f>
        <v>120000</v>
      </c>
      <c r="D19" s="13">
        <f t="shared" si="3"/>
        <v>220000</v>
      </c>
      <c r="E19" s="13">
        <f t="shared" si="3"/>
        <v>210000</v>
      </c>
      <c r="F19" s="10">
        <f t="shared" si="3"/>
        <v>423861</v>
      </c>
      <c r="G19" s="10">
        <f t="shared" si="3"/>
        <v>589733</v>
      </c>
      <c r="H19" s="10">
        <f t="shared" si="3"/>
        <v>817259</v>
      </c>
      <c r="I19" s="10">
        <f t="shared" si="3"/>
        <v>1058208</v>
      </c>
      <c r="J19" s="10">
        <f t="shared" si="3"/>
        <v>1303247</v>
      </c>
    </row>
    <row r="20" spans="2:10" ht="17">
      <c r="B20" s="4" t="s">
        <v>88</v>
      </c>
      <c r="C20" s="13">
        <v>1300000</v>
      </c>
      <c r="D20" s="13">
        <f>C21</f>
        <v>1420000</v>
      </c>
      <c r="E20" s="13">
        <f>D21</f>
        <v>1640000</v>
      </c>
      <c r="F20" s="10">
        <v>1100000</v>
      </c>
      <c r="G20" s="10">
        <f>F21</f>
        <v>1523861</v>
      </c>
      <c r="H20" s="10">
        <f>G21</f>
        <v>2113594</v>
      </c>
      <c r="I20" s="10">
        <f>H21</f>
        <v>2930853</v>
      </c>
      <c r="J20" s="10">
        <f>I21</f>
        <v>3989061</v>
      </c>
    </row>
    <row r="21" spans="2:10" ht="17">
      <c r="B21" s="4" t="s">
        <v>89</v>
      </c>
      <c r="C21" s="13">
        <f t="shared" ref="C21:J21" si="4">C19+C20</f>
        <v>1420000</v>
      </c>
      <c r="D21" s="13">
        <f t="shared" si="4"/>
        <v>1640000</v>
      </c>
      <c r="E21" s="13">
        <f t="shared" si="4"/>
        <v>1850000</v>
      </c>
      <c r="F21" s="10">
        <f t="shared" si="4"/>
        <v>1523861</v>
      </c>
      <c r="G21" s="10">
        <f t="shared" si="4"/>
        <v>2113594</v>
      </c>
      <c r="H21" s="10">
        <f t="shared" si="4"/>
        <v>2930853</v>
      </c>
      <c r="I21" s="10">
        <f t="shared" si="4"/>
        <v>3989061</v>
      </c>
      <c r="J21" s="10">
        <f t="shared" si="4"/>
        <v>5292308</v>
      </c>
    </row>
    <row r="24" spans="2:10" ht="15">
      <c r="B24" s="5" t="s">
        <v>90</v>
      </c>
    </row>
  </sheetData>
  <phoneticPr fontId="9"/>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
  <sheetViews>
    <sheetView tabSelected="1" workbookViewId="0">
      <selection activeCell="F7" sqref="F7"/>
    </sheetView>
  </sheetViews>
  <sheetFormatPr baseColWidth="10" defaultColWidth="8.83203125" defaultRowHeight="14"/>
  <cols>
    <col min="1" max="1" width="3" customWidth="1"/>
    <col min="2" max="2" width="34" customWidth="1"/>
    <col min="3" max="10" width="13" customWidth="1"/>
  </cols>
  <sheetData>
    <row r="1" spans="1:10" ht="22">
      <c r="A1" s="6" t="s">
        <v>91</v>
      </c>
    </row>
    <row r="2" spans="1:10" ht="15">
      <c r="A2" s="5" t="s">
        <v>92</v>
      </c>
      <c r="H2" s="7" t="s">
        <v>10</v>
      </c>
    </row>
    <row r="4" spans="1:10" ht="15">
      <c r="C4" s="8" t="s">
        <v>11</v>
      </c>
      <c r="D4" s="8" t="s">
        <v>12</v>
      </c>
      <c r="E4" s="8" t="s">
        <v>13</v>
      </c>
      <c r="F4" s="8" t="s">
        <v>14</v>
      </c>
      <c r="G4" s="8" t="s">
        <v>15</v>
      </c>
      <c r="H4" s="8" t="s">
        <v>16</v>
      </c>
      <c r="I4" s="8" t="s">
        <v>17</v>
      </c>
      <c r="J4" s="8" t="s">
        <v>18</v>
      </c>
    </row>
    <row r="5" spans="1:10" ht="15">
      <c r="C5" s="9" t="s">
        <v>19</v>
      </c>
      <c r="D5" s="9" t="s">
        <v>19</v>
      </c>
      <c r="E5" s="9" t="s">
        <v>19</v>
      </c>
      <c r="F5" s="9" t="s">
        <v>20</v>
      </c>
      <c r="G5" s="9" t="s">
        <v>20</v>
      </c>
      <c r="H5" s="9" t="s">
        <v>20</v>
      </c>
      <c r="I5" s="9" t="s">
        <v>20</v>
      </c>
      <c r="J5" s="9" t="s">
        <v>20</v>
      </c>
    </row>
    <row r="7" spans="1:10" ht="17">
      <c r="B7" s="4" t="s">
        <v>93</v>
      </c>
      <c r="C7" s="13">
        <v>3560</v>
      </c>
      <c r="D7" s="13">
        <v>3690</v>
      </c>
      <c r="E7" s="13">
        <v>3800</v>
      </c>
      <c r="F7" s="10">
        <v>4000</v>
      </c>
      <c r="G7" s="10">
        <v>4180</v>
      </c>
      <c r="H7" s="10">
        <v>4350</v>
      </c>
      <c r="I7" s="10">
        <v>4520</v>
      </c>
      <c r="J7" s="10">
        <v>4690</v>
      </c>
    </row>
    <row r="8" spans="1:10" ht="17">
      <c r="B8" s="4" t="s">
        <v>94</v>
      </c>
      <c r="C8" s="16">
        <v>0.86499999999999999</v>
      </c>
      <c r="D8" s="16">
        <v>0.872</v>
      </c>
      <c r="E8" s="16">
        <v>0.88</v>
      </c>
      <c r="F8" s="12">
        <v>0.88500000000000001</v>
      </c>
      <c r="G8" s="12">
        <v>0.89</v>
      </c>
      <c r="H8" s="12">
        <v>0.89500000000000002</v>
      </c>
      <c r="I8" s="12">
        <v>0.9</v>
      </c>
      <c r="J8" s="12">
        <v>0.9</v>
      </c>
    </row>
    <row r="9" spans="1:10" ht="17">
      <c r="B9" s="4" t="s">
        <v>95</v>
      </c>
      <c r="C9" s="13">
        <f t="shared" ref="C9:J9" si="0">ROUND(C7*C8,0)</f>
        <v>3079</v>
      </c>
      <c r="D9" s="13">
        <f t="shared" si="0"/>
        <v>3218</v>
      </c>
      <c r="E9" s="13">
        <f t="shared" si="0"/>
        <v>3344</v>
      </c>
      <c r="F9" s="10">
        <f t="shared" si="0"/>
        <v>3540</v>
      </c>
      <c r="G9" s="10">
        <f t="shared" si="0"/>
        <v>3720</v>
      </c>
      <c r="H9" s="10">
        <f t="shared" si="0"/>
        <v>3893</v>
      </c>
      <c r="I9" s="10">
        <f t="shared" si="0"/>
        <v>4068</v>
      </c>
      <c r="J9" s="10">
        <f t="shared" si="0"/>
        <v>4221</v>
      </c>
    </row>
    <row r="10" spans="1:10" ht="17">
      <c r="B10" s="4" t="s">
        <v>96</v>
      </c>
      <c r="C10" s="13">
        <v>165</v>
      </c>
      <c r="D10" s="13">
        <v>166</v>
      </c>
      <c r="E10" s="13">
        <v>166</v>
      </c>
      <c r="F10" s="10">
        <v>166</v>
      </c>
      <c r="G10" s="10">
        <v>166</v>
      </c>
      <c r="H10" s="10">
        <v>167</v>
      </c>
      <c r="I10" s="10">
        <v>167</v>
      </c>
      <c r="J10" s="10">
        <v>167</v>
      </c>
    </row>
    <row r="11" spans="1:10" ht="17">
      <c r="B11" s="4" t="s">
        <v>97</v>
      </c>
      <c r="C11" s="13">
        <v>2020</v>
      </c>
      <c r="D11" s="13">
        <v>2060</v>
      </c>
      <c r="E11" s="13">
        <v>2100</v>
      </c>
      <c r="F11" s="10">
        <v>2140</v>
      </c>
      <c r="G11" s="10">
        <v>2180</v>
      </c>
      <c r="H11" s="10">
        <v>2222</v>
      </c>
      <c r="I11" s="10">
        <v>2264</v>
      </c>
      <c r="J11" s="10">
        <v>2308</v>
      </c>
    </row>
    <row r="12" spans="1:10" ht="17">
      <c r="B12" s="4" t="s">
        <v>98</v>
      </c>
      <c r="C12" s="13">
        <v>1400</v>
      </c>
      <c r="D12" s="13">
        <v>1425</v>
      </c>
      <c r="E12" s="13">
        <v>1450</v>
      </c>
      <c r="F12" s="10">
        <v>1465</v>
      </c>
      <c r="G12" s="10">
        <v>1482</v>
      </c>
      <c r="H12" s="10">
        <v>1500</v>
      </c>
      <c r="I12" s="10">
        <v>1518</v>
      </c>
      <c r="J12" s="10">
        <v>1536</v>
      </c>
    </row>
    <row r="13" spans="1:10" ht="17">
      <c r="B13" s="4" t="s">
        <v>99</v>
      </c>
      <c r="C13" s="16">
        <v>0.14000000000000001</v>
      </c>
      <c r="D13" s="16">
        <v>0.14000000000000001</v>
      </c>
      <c r="E13" s="16">
        <v>0.14000000000000001</v>
      </c>
      <c r="F13" s="12">
        <v>0.14000000000000001</v>
      </c>
      <c r="G13" s="12">
        <v>0.14000000000000001</v>
      </c>
      <c r="H13" s="12">
        <v>0.14000000000000001</v>
      </c>
      <c r="I13" s="12">
        <v>0.14000000000000001</v>
      </c>
      <c r="J13" s="12">
        <v>0.14000000000000001</v>
      </c>
    </row>
    <row r="14" spans="1:10" ht="17">
      <c r="B14" s="4" t="s">
        <v>100</v>
      </c>
      <c r="C14" s="13">
        <v>1050</v>
      </c>
      <c r="D14" s="13">
        <v>1120</v>
      </c>
      <c r="E14" s="13">
        <v>1180</v>
      </c>
      <c r="F14" s="10">
        <v>1260</v>
      </c>
      <c r="G14" s="10">
        <v>1300</v>
      </c>
      <c r="H14" s="10">
        <v>1340</v>
      </c>
      <c r="I14" s="10">
        <v>1375</v>
      </c>
      <c r="J14" s="10">
        <v>1410</v>
      </c>
    </row>
    <row r="15" spans="1:10" ht="17">
      <c r="B15" s="4" t="s">
        <v>101</v>
      </c>
      <c r="C15" s="13">
        <v>225</v>
      </c>
      <c r="D15" s="13">
        <v>238</v>
      </c>
      <c r="E15" s="13">
        <v>250</v>
      </c>
      <c r="F15" s="10">
        <v>252</v>
      </c>
      <c r="G15" s="10">
        <v>254</v>
      </c>
      <c r="H15" s="10">
        <v>256</v>
      </c>
      <c r="I15" s="10">
        <v>258</v>
      </c>
      <c r="J15" s="10">
        <v>260</v>
      </c>
    </row>
    <row r="16" spans="1:10" ht="17">
      <c r="B16" s="4" t="s">
        <v>102</v>
      </c>
      <c r="C16" s="16">
        <v>0.24</v>
      </c>
      <c r="D16" s="16">
        <v>0.23</v>
      </c>
      <c r="E16" s="16">
        <v>0.22</v>
      </c>
      <c r="F16" s="12">
        <v>0.22</v>
      </c>
      <c r="G16" s="12">
        <v>0.21</v>
      </c>
      <c r="H16" s="12">
        <v>0.2</v>
      </c>
      <c r="I16" s="12">
        <v>0.19500000000000001</v>
      </c>
      <c r="J16" s="12">
        <v>0.19</v>
      </c>
    </row>
    <row r="18" spans="2:2" ht="15">
      <c r="B18" s="5" t="s">
        <v>103</v>
      </c>
    </row>
  </sheetData>
  <phoneticPr fontId="9"/>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4"/>
  <sheetViews>
    <sheetView workbookViewId="0"/>
  </sheetViews>
  <sheetFormatPr baseColWidth="10" defaultColWidth="8.83203125" defaultRowHeight="14"/>
  <cols>
    <col min="1" max="1" width="3" customWidth="1"/>
    <col min="2" max="2" width="34" customWidth="1"/>
    <col min="3" max="10" width="13" customWidth="1"/>
  </cols>
  <sheetData>
    <row r="1" spans="1:10" ht="22">
      <c r="A1" s="6" t="s">
        <v>104</v>
      </c>
    </row>
    <row r="2" spans="1:10" ht="15">
      <c r="A2" s="5" t="s">
        <v>9</v>
      </c>
      <c r="H2" s="7" t="s">
        <v>10</v>
      </c>
    </row>
    <row r="4" spans="1:10" ht="15">
      <c r="C4" s="8" t="s">
        <v>11</v>
      </c>
      <c r="D4" s="8" t="s">
        <v>12</v>
      </c>
      <c r="E4" s="8" t="s">
        <v>13</v>
      </c>
      <c r="F4" s="8" t="s">
        <v>14</v>
      </c>
      <c r="G4" s="8" t="s">
        <v>15</v>
      </c>
      <c r="H4" s="8" t="s">
        <v>16</v>
      </c>
      <c r="I4" s="8" t="s">
        <v>17</v>
      </c>
      <c r="J4" s="8" t="s">
        <v>18</v>
      </c>
    </row>
    <row r="5" spans="1:10" ht="15">
      <c r="C5" s="9" t="s">
        <v>19</v>
      </c>
      <c r="D5" s="9" t="s">
        <v>19</v>
      </c>
      <c r="E5" s="9" t="s">
        <v>19</v>
      </c>
      <c r="F5" s="9" t="s">
        <v>20</v>
      </c>
      <c r="G5" s="9" t="s">
        <v>20</v>
      </c>
      <c r="H5" s="9" t="s">
        <v>20</v>
      </c>
      <c r="I5" s="9" t="s">
        <v>20</v>
      </c>
      <c r="J5" s="9" t="s">
        <v>20</v>
      </c>
    </row>
    <row r="7" spans="1:10" ht="17">
      <c r="B7" s="4" t="s">
        <v>105</v>
      </c>
      <c r="F7" s="10">
        <v>6500000</v>
      </c>
      <c r="G7" s="10">
        <f>F9</f>
        <v>5850000</v>
      </c>
      <c r="H7" s="10">
        <f>G9</f>
        <v>5200000</v>
      </c>
      <c r="I7" s="10">
        <f>H9</f>
        <v>4550000</v>
      </c>
      <c r="J7" s="10">
        <f>I9</f>
        <v>3900000</v>
      </c>
    </row>
    <row r="8" spans="1:10" ht="17">
      <c r="B8" s="4" t="s">
        <v>106</v>
      </c>
      <c r="F8" s="10">
        <v>650000</v>
      </c>
      <c r="G8" s="10">
        <v>650000</v>
      </c>
      <c r="H8" s="10">
        <v>650000</v>
      </c>
      <c r="I8" s="10">
        <v>650000</v>
      </c>
      <c r="J8" s="10">
        <v>650000</v>
      </c>
    </row>
    <row r="9" spans="1:10" ht="17">
      <c r="B9" s="4" t="s">
        <v>107</v>
      </c>
      <c r="F9" s="10">
        <f>F7-F8</f>
        <v>5850000</v>
      </c>
      <c r="G9" s="10">
        <f>G7-G8</f>
        <v>5200000</v>
      </c>
      <c r="H9" s="10">
        <f>H7-H8</f>
        <v>4550000</v>
      </c>
      <c r="I9" s="10">
        <f>I7-I8</f>
        <v>3900000</v>
      </c>
      <c r="J9" s="10">
        <f>J7-J8</f>
        <v>3250000</v>
      </c>
    </row>
    <row r="10" spans="1:10" ht="17">
      <c r="B10" s="4" t="s">
        <v>108</v>
      </c>
      <c r="F10" s="10">
        <f>(F7+F9)/2</f>
        <v>6175000</v>
      </c>
      <c r="G10" s="10">
        <f>(G7+G9)/2</f>
        <v>5525000</v>
      </c>
      <c r="H10" s="10">
        <f>(H7+H9)/2</f>
        <v>4875000</v>
      </c>
      <c r="I10" s="10">
        <f>(I7+I9)/2</f>
        <v>4225000</v>
      </c>
      <c r="J10" s="10">
        <f>(J7+J9)/2</f>
        <v>3575000</v>
      </c>
    </row>
    <row r="11" spans="1:10" ht="17">
      <c r="B11" s="4" t="s">
        <v>27</v>
      </c>
      <c r="F11" s="12">
        <v>2.1999999999999999E-2</v>
      </c>
      <c r="G11" s="12">
        <v>2.1999999999999999E-2</v>
      </c>
      <c r="H11" s="12">
        <v>2.1999999999999999E-2</v>
      </c>
      <c r="I11" s="12">
        <v>2.1999999999999999E-2</v>
      </c>
      <c r="J11" s="12">
        <v>2.1999999999999999E-2</v>
      </c>
    </row>
    <row r="12" spans="1:10" ht="17">
      <c r="B12" s="4" t="s">
        <v>56</v>
      </c>
      <c r="F12" s="10">
        <f>ROUND(F10*F11,0)</f>
        <v>135850</v>
      </c>
      <c r="G12" s="10">
        <f>ROUND(G10*G11,0)</f>
        <v>121550</v>
      </c>
      <c r="H12" s="10">
        <f>ROUND(H10*H11,0)</f>
        <v>107250</v>
      </c>
      <c r="I12" s="10">
        <f>ROUND(I10*I11,0)</f>
        <v>92950</v>
      </c>
      <c r="J12" s="10">
        <f>ROUND(J10*J11,0)</f>
        <v>78650</v>
      </c>
    </row>
    <row r="14" spans="1:10" ht="15">
      <c r="B14" s="5" t="s">
        <v>109</v>
      </c>
    </row>
  </sheetData>
  <phoneticPr fontId="9"/>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2"/>
  <sheetViews>
    <sheetView workbookViewId="0"/>
  </sheetViews>
  <sheetFormatPr baseColWidth="10" defaultColWidth="8.83203125" defaultRowHeight="14"/>
  <cols>
    <col min="1" max="1" width="3" customWidth="1"/>
    <col min="2" max="2" width="34" customWidth="1"/>
    <col min="3" max="10" width="13" customWidth="1"/>
  </cols>
  <sheetData>
    <row r="1" spans="1:10" ht="22">
      <c r="A1" s="17" t="s">
        <v>110</v>
      </c>
    </row>
    <row r="2" spans="1:10" ht="15">
      <c r="A2" s="5" t="s">
        <v>9</v>
      </c>
      <c r="H2" s="7" t="s">
        <v>10</v>
      </c>
    </row>
    <row r="4" spans="1:10" ht="15">
      <c r="C4" s="8" t="s">
        <v>11</v>
      </c>
      <c r="D4" s="8" t="s">
        <v>12</v>
      </c>
      <c r="E4" s="8" t="s">
        <v>13</v>
      </c>
      <c r="F4" s="8" t="s">
        <v>14</v>
      </c>
      <c r="G4" s="8" t="s">
        <v>15</v>
      </c>
      <c r="H4" s="8" t="s">
        <v>16</v>
      </c>
      <c r="I4" s="8" t="s">
        <v>17</v>
      </c>
      <c r="J4" s="8" t="s">
        <v>18</v>
      </c>
    </row>
    <row r="5" spans="1:10" ht="15">
      <c r="C5" s="9" t="s">
        <v>19</v>
      </c>
      <c r="D5" s="9" t="s">
        <v>19</v>
      </c>
      <c r="E5" s="9" t="s">
        <v>19</v>
      </c>
      <c r="F5" s="9" t="s">
        <v>20</v>
      </c>
      <c r="G5" s="9" t="s">
        <v>20</v>
      </c>
      <c r="H5" s="9" t="s">
        <v>20</v>
      </c>
      <c r="I5" s="9" t="s">
        <v>20</v>
      </c>
      <c r="J5" s="9" t="s">
        <v>20</v>
      </c>
    </row>
    <row r="7" spans="1:10" ht="17">
      <c r="B7" s="4" t="s">
        <v>39</v>
      </c>
      <c r="C7" s="10">
        <v>11883751</v>
      </c>
      <c r="D7" s="10">
        <v>12742947</v>
      </c>
      <c r="E7" s="10">
        <v>13499019</v>
      </c>
      <c r="F7" s="10">
        <v>14562424</v>
      </c>
      <c r="G7" s="10">
        <v>15588921</v>
      </c>
      <c r="H7" s="10">
        <v>16728364</v>
      </c>
      <c r="I7" s="10">
        <v>17810757</v>
      </c>
      <c r="J7" s="10">
        <v>18839795</v>
      </c>
    </row>
    <row r="8" spans="1:10" ht="17">
      <c r="B8" s="4" t="s">
        <v>40</v>
      </c>
      <c r="C8" s="10">
        <v>140148</v>
      </c>
      <c r="D8" s="10">
        <v>152470</v>
      </c>
      <c r="E8" s="10">
        <v>165380</v>
      </c>
      <c r="F8" s="10">
        <v>169928</v>
      </c>
      <c r="G8" s="10">
        <v>175630</v>
      </c>
      <c r="H8" s="10">
        <v>181420</v>
      </c>
      <c r="I8" s="10">
        <v>187210</v>
      </c>
      <c r="J8" s="10">
        <v>193000</v>
      </c>
    </row>
    <row r="9" spans="1:10" ht="17">
      <c r="B9" s="4" t="s">
        <v>41</v>
      </c>
      <c r="C9" s="10">
        <v>12023900</v>
      </c>
      <c r="D9" s="10">
        <v>12895417</v>
      </c>
      <c r="E9" s="10">
        <v>13664400</v>
      </c>
      <c r="F9" s="10">
        <v>14732352</v>
      </c>
      <c r="G9" s="10">
        <v>15764551</v>
      </c>
      <c r="H9" s="10">
        <v>16909784</v>
      </c>
      <c r="I9" s="10">
        <v>17997967</v>
      </c>
      <c r="J9" s="10">
        <v>19032795</v>
      </c>
    </row>
    <row r="11" spans="1:10" ht="17">
      <c r="B11" s="4" t="s">
        <v>42</v>
      </c>
      <c r="C11" s="10">
        <v>9389339</v>
      </c>
      <c r="D11" s="10">
        <v>10048989</v>
      </c>
      <c r="E11" s="10">
        <v>10625656</v>
      </c>
      <c r="F11" s="10">
        <v>11364815</v>
      </c>
      <c r="G11" s="10">
        <v>12081271</v>
      </c>
      <c r="H11" s="10">
        <v>12873763</v>
      </c>
      <c r="I11" s="10">
        <v>13613901</v>
      </c>
      <c r="J11" s="10">
        <v>14293429</v>
      </c>
    </row>
    <row r="13" spans="1:10" ht="17">
      <c r="B13" s="4" t="s">
        <v>44</v>
      </c>
      <c r="C13" s="10">
        <v>9661469</v>
      </c>
      <c r="D13" s="10">
        <v>10328839</v>
      </c>
      <c r="E13" s="10">
        <v>10915156</v>
      </c>
      <c r="F13" s="10">
        <v>11663965</v>
      </c>
      <c r="G13" s="10">
        <v>12392001</v>
      </c>
      <c r="H13" s="10">
        <v>13196073</v>
      </c>
      <c r="I13" s="10">
        <v>13947791</v>
      </c>
      <c r="J13" s="10">
        <v>14638899</v>
      </c>
    </row>
    <row r="14" spans="1:10" ht="17">
      <c r="B14" s="4" t="s">
        <v>45</v>
      </c>
      <c r="C14" s="10">
        <v>2362430</v>
      </c>
      <c r="D14" s="10">
        <v>2566577</v>
      </c>
      <c r="E14" s="10">
        <v>2749243</v>
      </c>
      <c r="F14" s="10">
        <v>3068387</v>
      </c>
      <c r="G14" s="10">
        <v>3372550</v>
      </c>
      <c r="H14" s="10">
        <v>3713710</v>
      </c>
      <c r="I14" s="10">
        <v>4050176</v>
      </c>
      <c r="J14" s="10">
        <v>4393895</v>
      </c>
    </row>
    <row r="20" spans="2:10" ht="17">
      <c r="B20" s="4" t="s">
        <v>50</v>
      </c>
      <c r="C20" s="10">
        <v>1176576</v>
      </c>
      <c r="D20" s="10">
        <v>1227055</v>
      </c>
      <c r="E20" s="10">
        <v>1287310</v>
      </c>
      <c r="F20" s="10">
        <v>1345711</v>
      </c>
      <c r="G20" s="10">
        <v>1374353</v>
      </c>
      <c r="H20" s="10">
        <v>1404113</v>
      </c>
      <c r="I20" s="10">
        <v>1432783</v>
      </c>
      <c r="J20" s="10">
        <v>1461589</v>
      </c>
    </row>
    <row r="21" spans="2:10" ht="17">
      <c r="B21" s="4" t="s">
        <v>51</v>
      </c>
      <c r="C21" s="10">
        <v>1185853</v>
      </c>
      <c r="D21" s="10">
        <v>1339522</v>
      </c>
      <c r="E21" s="10">
        <v>1461933</v>
      </c>
      <c r="F21" s="10">
        <v>1722675</v>
      </c>
      <c r="G21" s="10">
        <v>1998197</v>
      </c>
      <c r="H21" s="10">
        <v>2309597</v>
      </c>
      <c r="I21" s="10">
        <v>2617392</v>
      </c>
      <c r="J21" s="10">
        <v>2932306</v>
      </c>
    </row>
    <row r="24" spans="2:10" ht="17">
      <c r="B24" s="4" t="s">
        <v>53</v>
      </c>
      <c r="C24" s="10">
        <v>88780</v>
      </c>
      <c r="D24" s="10">
        <v>94570</v>
      </c>
      <c r="E24" s="10">
        <v>101366</v>
      </c>
      <c r="F24" s="10">
        <v>109720</v>
      </c>
      <c r="G24" s="10">
        <v>113580</v>
      </c>
      <c r="H24" s="10">
        <v>117440</v>
      </c>
      <c r="I24" s="10">
        <v>121300</v>
      </c>
      <c r="J24" s="10">
        <v>125160</v>
      </c>
    </row>
    <row r="25" spans="2:10" ht="17">
      <c r="B25" s="4" t="s">
        <v>54</v>
      </c>
      <c r="C25" s="10">
        <v>1274633</v>
      </c>
      <c r="D25" s="10">
        <v>1434092</v>
      </c>
      <c r="E25" s="10">
        <v>1563300</v>
      </c>
      <c r="F25" s="10">
        <v>1832396</v>
      </c>
      <c r="G25" s="10">
        <v>2111778</v>
      </c>
      <c r="H25" s="10">
        <v>2427037</v>
      </c>
      <c r="I25" s="10">
        <v>2738693</v>
      </c>
      <c r="J25" s="10">
        <v>3057467</v>
      </c>
    </row>
    <row r="32" spans="2:10" ht="17">
      <c r="B32" s="4" t="s">
        <v>60</v>
      </c>
      <c r="C32" s="10">
        <v>812113</v>
      </c>
      <c r="D32" s="10">
        <v>919076</v>
      </c>
      <c r="E32" s="10">
        <v>1004405</v>
      </c>
      <c r="F32" s="10">
        <v>1102185</v>
      </c>
      <c r="G32" s="10">
        <v>1301816</v>
      </c>
      <c r="H32" s="10">
        <v>1526204</v>
      </c>
      <c r="I32" s="10">
        <v>1748105</v>
      </c>
      <c r="J32" s="10">
        <v>1974917</v>
      </c>
    </row>
  </sheetData>
  <phoneticPr fontId="9"/>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
  <sheetViews>
    <sheetView workbookViewId="0"/>
  </sheetViews>
  <sheetFormatPr baseColWidth="10" defaultColWidth="8.83203125" defaultRowHeight="14"/>
  <sheetData>
    <row r="1" spans="1:4" ht="15">
      <c r="A1" s="5" t="s">
        <v>111</v>
      </c>
    </row>
    <row r="3" spans="1:4" ht="17">
      <c r="B3" s="4" t="s">
        <v>112</v>
      </c>
      <c r="D3" s="4">
        <v>13988620800</v>
      </c>
    </row>
    <row r="4" spans="1:4" ht="17">
      <c r="B4" s="4" t="s">
        <v>113</v>
      </c>
    </row>
    <row r="6" spans="1:4" ht="17">
      <c r="B6" s="4" t="s">
        <v>114</v>
      </c>
    </row>
    <row r="8" spans="1:4" ht="17">
      <c r="B8" s="4" t="s">
        <v>115</v>
      </c>
    </row>
    <row r="10" spans="1:4" ht="17">
      <c r="B10" s="4">
        <v>4233600</v>
      </c>
      <c r="C10" s="4" t="s">
        <v>116</v>
      </c>
    </row>
    <row r="12" spans="1:4" ht="17">
      <c r="B12" s="4" t="s">
        <v>117</v>
      </c>
    </row>
  </sheetData>
  <phoneticPr fontId="9"/>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baseColWidth="10" defaultColWidth="8.83203125" defaultRowHeight="14"/>
  <sheetData/>
  <phoneticPr fontId="9"/>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10</vt:i4>
      </vt:variant>
    </vt:vector>
  </HeadingPairs>
  <TitlesOfParts>
    <vt:vector size="10" baseType="lpstr">
      <vt:lpstr>Cover</vt:lpstr>
      <vt:lpstr>Assumptions</vt:lpstr>
      <vt:lpstr>PL</vt:lpstr>
      <vt:lpstr>BS</vt:lpstr>
      <vt:lpstr>CF</vt:lpstr>
      <vt:lpstr>KPI_Drivers</vt:lpstr>
      <vt:lpstr>Debt_Schedule</vt:lpstr>
      <vt:lpstr>PL_old</vt:lpstr>
      <vt:lpstr>Scratch</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久保 貴裕</cp:lastModifiedBy>
  <dcterms:created xsi:type="dcterms:W3CDTF">2026-07-14T08:57:23Z</dcterms:created>
  <dcterms:modified xsi:type="dcterms:W3CDTF">2026-07-17T04:44:38Z</dcterms:modified>
</cp:coreProperties>
</file>