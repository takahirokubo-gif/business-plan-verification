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&quot;△&quot; #,##0"/>
    <numFmt numFmtId="165" formatCode="0.0%"/>
  </numFmts>
  <fonts count="6">
    <font>
      <name val="Calibri"/>
      <family val="2"/>
      <color theme="1"/>
      <sz val="11"/>
      <scheme val="minor"/>
    </font>
    <font>
      <name val="Yu Gothic"/>
      <b val="1"/>
      <color rgb="001A4F8B"/>
      <sz val="14"/>
    </font>
    <font>
      <name val="Yu Gothic"/>
      <color rgb="00737781"/>
      <sz val="9"/>
    </font>
    <font>
      <name val="Yu Gothic"/>
      <b val="1"/>
      <sz val="10"/>
    </font>
    <font>
      <name val="Yu Gothic"/>
      <sz val="10"/>
    </font>
    <font>
      <name val="Yu Gothic"/>
      <color rgb="000070C0"/>
      <sz val="10"/>
    </font>
  </fonts>
  <fills count="3">
    <fill>
      <patternFill/>
    </fill>
    <fill>
      <patternFill patternType="gray125"/>
    </fill>
    <fill>
      <patternFill patternType="solid">
        <fgColor rgb="00ED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8B72"/>
    <outlinePr summaryBelow="1" summaryRight="1"/>
    <pageSetUpPr fitToPage="1"/>
  </sheetPr>
  <dimension ref="A1:N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>
      <c r="A1" s="1" t="inlineStr">
        <is>
          <t>Debt Schedule (debt)</t>
        </is>
      </c>
    </row>
    <row r="2">
      <c r="A2" s="2" t="inlineStr">
        <is>
          <t>(Unit: JPY thousands)</t>
        </is>
      </c>
      <c r="E2" s="3" t="inlineStr">
        <is>
          <t>Project Gear — Senior Facility</t>
        </is>
      </c>
    </row>
    <row r="4">
      <c r="C4" s="4" t="inlineStr">
        <is>
          <t>FY22A</t>
        </is>
      </c>
      <c r="D4" s="4" t="inlineStr">
        <is>
          <t>FY23A</t>
        </is>
      </c>
      <c r="E4" s="4" t="inlineStr">
        <is>
          <t>FY24A</t>
        </is>
      </c>
      <c r="F4" s="4" t="inlineStr">
        <is>
          <t>FY25A</t>
        </is>
      </c>
      <c r="G4" s="4" t="inlineStr">
        <is>
          <t>FY26A</t>
        </is>
      </c>
      <c r="H4" s="4" t="inlineStr">
        <is>
          <t>FY27E</t>
        </is>
      </c>
      <c r="I4" s="4" t="inlineStr">
        <is>
          <t>FY28E</t>
        </is>
      </c>
      <c r="J4" s="4" t="inlineStr">
        <is>
          <t>FY29E</t>
        </is>
      </c>
      <c r="K4" s="4" t="inlineStr">
        <is>
          <t>FY30E</t>
        </is>
      </c>
      <c r="L4" s="4" t="inlineStr">
        <is>
          <t>FY31E</t>
        </is>
      </c>
      <c r="M4" s="4" t="inlineStr">
        <is>
          <t>FY32E</t>
        </is>
      </c>
      <c r="N4" s="4" t="inlineStr">
        <is>
          <t>FY33E</t>
        </is>
      </c>
    </row>
    <row r="5">
      <c r="C5" s="5" t="inlineStr">
        <is>
          <t>実績</t>
        </is>
      </c>
      <c r="D5" s="5" t="inlineStr">
        <is>
          <t>実績</t>
        </is>
      </c>
      <c r="E5" s="5" t="inlineStr">
        <is>
          <t>実績</t>
        </is>
      </c>
      <c r="F5" s="5" t="inlineStr">
        <is>
          <t>実績</t>
        </is>
      </c>
      <c r="G5" s="5" t="inlineStr">
        <is>
          <t>実績</t>
        </is>
      </c>
      <c r="H5" s="5" t="inlineStr">
        <is>
          <t>計画</t>
        </is>
      </c>
      <c r="I5" s="5" t="inlineStr">
        <is>
          <t>計画</t>
        </is>
      </c>
      <c r="J5" s="5" t="inlineStr">
        <is>
          <t>計画</t>
        </is>
      </c>
      <c r="K5" s="5" t="inlineStr">
        <is>
          <t>計画</t>
        </is>
      </c>
      <c r="L5" s="5" t="inlineStr">
        <is>
          <t>計画</t>
        </is>
      </c>
      <c r="M5" s="5" t="inlineStr">
        <is>
          <t>計画</t>
        </is>
      </c>
      <c r="N5" s="5" t="inlineStr">
        <is>
          <t>計画</t>
        </is>
      </c>
    </row>
    <row r="6">
      <c r="B6" s="3" t="inlineStr">
        <is>
          <t>Existing Bank Facility (to be refinanced at closing)</t>
        </is>
      </c>
    </row>
    <row r="7">
      <c r="B7" s="6" t="inlineStr">
        <is>
          <t>Beginning Balance</t>
        </is>
      </c>
      <c r="C7" s="7" t="n">
        <v>550000</v>
      </c>
      <c r="D7" s="8">
        <f>C9</f>
        <v/>
      </c>
      <c r="E7" s="8">
        <f>D9</f>
        <v/>
      </c>
      <c r="F7" s="8">
        <f>E9</f>
        <v/>
      </c>
      <c r="G7" s="8">
        <f>F9</f>
        <v/>
      </c>
    </row>
    <row r="8">
      <c r="B8" s="6" t="inlineStr">
        <is>
          <t>Repayment</t>
        </is>
      </c>
      <c r="C8" s="7" t="n">
        <v>-50000</v>
      </c>
      <c r="D8" s="7" t="n">
        <v>-50000</v>
      </c>
      <c r="E8" s="7" t="n">
        <v>-50000</v>
      </c>
      <c r="F8" s="7" t="n">
        <v>-50000</v>
      </c>
      <c r="G8" s="7" t="n">
        <v>-50000</v>
      </c>
    </row>
    <row r="9">
      <c r="B9" s="6" t="inlineStr">
        <is>
          <t>Ending Balance</t>
        </is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</row>
    <row r="10">
      <c r="B10" s="6" t="inlineStr">
        <is>
          <t>Interest Rate</t>
        </is>
      </c>
      <c r="C10" s="9">
        <f>-C11/((C7+C9)/2)</f>
        <v/>
      </c>
      <c r="D10" s="9">
        <f>-D11/((D7+D9)/2)</f>
        <v/>
      </c>
      <c r="E10" s="9">
        <f>-E11/((E7+E9)/2)</f>
        <v/>
      </c>
      <c r="F10" s="9">
        <f>-F11/((F7+F9)/2)</f>
        <v/>
      </c>
      <c r="G10" s="9">
        <f>-G11/((G7+G9)/2)</f>
        <v/>
      </c>
    </row>
    <row r="11">
      <c r="B11" s="6" t="inlineStr">
        <is>
          <t>Interest Expense</t>
        </is>
      </c>
      <c r="C11" s="7" t="n">
        <v>-16000</v>
      </c>
      <c r="D11" s="7" t="n">
        <v>-15000</v>
      </c>
      <c r="E11" s="7" t="n">
        <v>-14000</v>
      </c>
      <c r="F11" s="7" t="n">
        <v>-13000</v>
      </c>
      <c r="G11" s="7" t="n">
        <v>-12000</v>
      </c>
    </row>
    <row r="13">
      <c r="B13" s="3" t="inlineStr">
        <is>
          <t>Senior Term Loan A (TIBOR+200bp)</t>
        </is>
      </c>
    </row>
    <row r="14">
      <c r="B14" s="6" t="inlineStr">
        <is>
          <t>Beginning Balance</t>
        </is>
      </c>
      <c r="H14" s="7" t="n">
        <v>6500000</v>
      </c>
      <c r="I14" s="8">
        <f>H16</f>
        <v/>
      </c>
      <c r="J14" s="8">
        <f>I16</f>
        <v/>
      </c>
      <c r="K14" s="8">
        <f>J16</f>
        <v/>
      </c>
      <c r="L14" s="8">
        <f>K16</f>
        <v/>
      </c>
      <c r="M14" s="8">
        <f>L16</f>
        <v/>
      </c>
      <c r="N14" s="8">
        <f>M16</f>
        <v/>
      </c>
    </row>
    <row r="15">
      <c r="B15" s="6" t="inlineStr">
        <is>
          <t>Mandatory Amortization</t>
        </is>
      </c>
      <c r="H15" s="7" t="n">
        <v>-650000</v>
      </c>
      <c r="I15" s="7" t="n">
        <v>-650000</v>
      </c>
      <c r="J15" s="7" t="n">
        <v>-650000</v>
      </c>
      <c r="K15" s="7" t="n">
        <v>-650000</v>
      </c>
      <c r="L15" s="7" t="n">
        <v>-650000</v>
      </c>
      <c r="M15" s="7" t="n">
        <v>-650000</v>
      </c>
      <c r="N15" s="8">
        <f>-N14</f>
        <v/>
      </c>
    </row>
    <row r="16">
      <c r="B16" s="6" t="inlineStr">
        <is>
          <t>Ending Balance</t>
        </is>
      </c>
      <c r="H16" s="8">
        <f>H14+H15</f>
        <v/>
      </c>
      <c r="I16" s="8">
        <f>I14+I15</f>
        <v/>
      </c>
      <c r="J16" s="8">
        <f>J14+J15</f>
        <v/>
      </c>
      <c r="K16" s="8">
        <f>K14+K15</f>
        <v/>
      </c>
      <c r="L16" s="8">
        <f>L14+L15</f>
        <v/>
      </c>
      <c r="M16" s="8">
        <f>M14+M15</f>
        <v/>
      </c>
      <c r="N16" s="8">
        <f>N14+N15</f>
        <v/>
      </c>
    </row>
    <row r="17">
      <c r="B17" s="6" t="inlineStr">
        <is>
          <t>Average Balance</t>
        </is>
      </c>
      <c r="H17" s="8">
        <f>(H14+H16)/2</f>
        <v/>
      </c>
      <c r="I17" s="8">
        <f>(I14+I16)/2</f>
        <v/>
      </c>
      <c r="J17" s="8">
        <f>(J14+J16)/2</f>
        <v/>
      </c>
      <c r="K17" s="8">
        <f>(K14+K16)/2</f>
        <v/>
      </c>
      <c r="L17" s="8">
        <f>(L14+L16)/2</f>
        <v/>
      </c>
      <c r="M17" s="8">
        <f>(M14+M16)/2</f>
        <v/>
      </c>
      <c r="N17" s="8">
        <f>(N14+N16)/2</f>
        <v/>
      </c>
    </row>
    <row r="18">
      <c r="B18" s="6" t="inlineStr">
        <is>
          <t>Interest Rate (TIBOR+200bp)</t>
        </is>
      </c>
      <c r="H18" s="10" t="n">
        <v>0.022</v>
      </c>
      <c r="I18" s="10" t="n">
        <v>0.022</v>
      </c>
      <c r="J18" s="10" t="n">
        <v>0.022</v>
      </c>
      <c r="K18" s="10" t="n">
        <v>0.022</v>
      </c>
      <c r="L18" s="10" t="n">
        <v>0.022</v>
      </c>
      <c r="M18" s="10" t="n">
        <v>0.022</v>
      </c>
      <c r="N18" s="10" t="n">
        <v>0.022</v>
      </c>
    </row>
    <row r="19">
      <c r="B19" s="6" t="inlineStr">
        <is>
          <t>Interest Expense</t>
        </is>
      </c>
      <c r="H19" s="8">
        <f>-ROUND(H17*H18,0)</f>
        <v/>
      </c>
      <c r="I19" s="8">
        <f>-ROUND(I17*I18,0)</f>
        <v/>
      </c>
      <c r="J19" s="8">
        <f>-ROUND(J17*J18,0)</f>
        <v/>
      </c>
      <c r="K19" s="8">
        <f>-ROUND(K17*K18,0)</f>
        <v/>
      </c>
      <c r="L19" s="8">
        <f>-ROUND(L17*L18,0)</f>
        <v/>
      </c>
      <c r="M19" s="8">
        <f>-ROUND(M17*M18,0)</f>
        <v/>
      </c>
      <c r="N19" s="8">
        <f>-ROUND(N17*N18,0)</f>
        <v/>
      </c>
    </row>
    <row r="21">
      <c r="B21" s="2" t="inlineStr">
        <is>
          <t>Note: Annual mandatory amortization of JPY 650,000 thousand; bullet repayment of the remaining balance in FY33.</t>
        </is>
      </c>
    </row>
    <row r="22">
      <c r="B22" s="2" t="inlineStr">
        <is>
          <t>Note: Committed line facility to be arranged post-closing (not included above).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2026-07-24T02:46:29Z</dcterms:created>
  <dcterms:modified xsi:type="dcterms:W3CDTF">2026-07-24T02:46:29Z</dcterms:modified>
</cp:coreProperties>
</file>