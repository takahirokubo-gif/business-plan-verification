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ssumptions" sheetId="2" state="visible" r:id="rId2"/>
    <sheet name="PL" sheetId="3" state="visible" r:id="rId3"/>
    <sheet name="BS" sheetId="4" state="visible" r:id="rId4"/>
    <sheet name="CF" sheetId="5" state="visible" r:id="rId5"/>
    <sheet name="KPI_Drivers" sheetId="6" state="visible" r:id="rId6"/>
    <sheet name="Debt_Schedule" sheetId="7" state="visible" r:id="rId7"/>
    <sheet name="月次試算表_FY26"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quot;△&quot; #,##0"/>
  </numFmts>
  <fonts count="8">
    <font>
      <name val="Calibri"/>
      <family val="2"/>
      <color theme="1"/>
      <sz val="11"/>
      <scheme val="minor"/>
    </font>
    <font>
      <name val="Yu Gothic"/>
      <b val="1"/>
      <color rgb="001A4F8B"/>
      <sz val="24"/>
    </font>
    <font>
      <name val="Yu Gothic"/>
      <b val="1"/>
      <sz val="16"/>
    </font>
    <font>
      <name val="Yu Gothic"/>
      <b val="1"/>
      <sz val="12"/>
    </font>
    <font>
      <name val="Yu Gothic"/>
      <sz val="10"/>
    </font>
    <font>
      <name val="Yu Gothic"/>
      <color rgb="00737781"/>
      <sz val="9"/>
    </font>
    <font>
      <name val="Yu Gothic"/>
      <b val="1"/>
      <color rgb="001A4F8B"/>
      <sz val="14"/>
    </font>
    <font>
      <name val="Yu Gothic"/>
      <b val="1"/>
      <sz val="10"/>
    </font>
  </fonts>
  <fills count="4">
    <fill>
      <patternFill/>
    </fill>
    <fill>
      <patternFill patternType="gray125"/>
    </fill>
    <fill>
      <patternFill patternType="solid">
        <fgColor rgb="00EDEDF3"/>
      </patternFill>
    </fill>
    <fill>
      <patternFill patternType="solid">
        <fgColor rgb="00F5F5F5"/>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2" borderId="0" applyAlignment="1" pivotButton="0" quotePrefix="0" xfId="0">
      <alignment horizontal="center"/>
    </xf>
    <xf numFmtId="0" fontId="5" fillId="0" borderId="0" applyAlignment="1" pivotButton="0" quotePrefix="0" xfId="0">
      <alignment horizontal="center"/>
    </xf>
    <xf numFmtId="164" fontId="4" fillId="3" borderId="0" pivotButton="0" quotePrefix="0" xfId="0"/>
    <xf numFmtId="164" fontId="4" fillId="0" borderId="0" pivotButton="0" quotePrefix="0" xfId="0"/>
    <xf numFmtId="3" fontId="4" fillId="3" borderId="0" pivotButton="0" quotePrefix="0" xfId="0"/>
    <xf numFmtId="3" fontId="4" fillId="0" borderId="0" pivotButton="0" quotePrefix="0" xfId="0"/>
    <xf numFmtId="1" fontId="4" fillId="0" borderId="0" pivotButton="0" quotePrefix="0" xfId="0"/>
    <xf numFmtId="0" fontId="5" fillId="0" borderId="0" applyAlignment="1" pivotButton="0" quotePrefix="0" xfId="0">
      <alignment horizontal="right"/>
    </xf>
    <xf numFmtId="165" fontId="4" fillId="3" borderId="0" pivotButton="0" quotePrefix="0" xfId="0"/>
    <xf numFmtId="165" fontId="4" fillId="0" borderId="0" pivotButton="0" quotePrefix="0" xfId="0"/>
    <xf numFmtId="165" fontId="7" fillId="3" borderId="0" pivotButton="0" quotePrefix="0" xfId="0"/>
    <xf numFmtId="165"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4F8B"/>
    <outlinePr summaryBelow="1" summaryRight="1"/>
    <pageSetUpPr fitToPage="1"/>
  </sheetPr>
  <dimension ref="B4:B15"/>
  <sheetViews>
    <sheetView workbookViewId="0">
      <selection activeCell="A1" sqref="A1"/>
    </sheetView>
  </sheetViews>
  <sheetFormatPr baseColWidth="8" defaultRowHeight="15"/>
  <cols>
    <col width="90" customWidth="1" min="2" max="2"/>
  </cols>
  <sheetData>
    <row r="4">
      <c r="B4" s="1" t="inlineStr">
        <is>
          <t>Project Gear</t>
        </is>
      </c>
    </row>
    <row r="6">
      <c r="B6" s="2" t="inlineStr">
        <is>
          <t>株式会社オートスタッフ中部　財務モデル</t>
        </is>
      </c>
    </row>
    <row r="8">
      <c r="B8" s="3" t="inlineStr">
        <is>
          <t>ケース：Base Case（ベースケース）</t>
        </is>
      </c>
    </row>
    <row r="10">
      <c r="B10" s="4" t="inlineStr">
        <is>
          <t>作成：日本橋キャピタルパートナーズ株式会社</t>
        </is>
      </c>
    </row>
    <row r="11">
      <c r="B11" s="4" t="inlineStr">
        <is>
          <t>作成日：2026年7月10日（Ver. 3.4・12期拡張版）</t>
        </is>
      </c>
    </row>
    <row r="12">
      <c r="B12" s="4" t="n"/>
    </row>
    <row r="13">
      <c r="B13" s="5" t="inlineStr">
        <is>
          <t>【取扱厳重注意】</t>
        </is>
      </c>
    </row>
    <row r="14">
      <c r="B14" s="5" t="inlineStr">
        <is>
          <t>本資料は貴行における本件検討のためにのみ作成されたものであり、作成者の事前の書面による同意なく第三者への開示・複製を禁じます。</t>
        </is>
      </c>
    </row>
    <row r="15">
      <c r="B15" s="5" t="inlineStr">
        <is>
          <t>本資料に含まれる将来予測は多くの前提・仮定に基づくものであり、その実現性を保証するものではありません。</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5B79A8"/>
    <outlinePr summaryBelow="1" summaryRight="1"/>
    <pageSetUpPr fitToPage="1"/>
  </sheetPr>
  <dimension ref="A1:N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前提条件（Assumptions）</t>
        </is>
      </c>
    </row>
    <row r="2">
      <c r="A2" s="5" t="inlineStr">
        <is>
          <t>（単位：千円）</t>
        </is>
      </c>
      <c r="E2" s="7" t="inlineStr">
        <is>
          <t>ケース: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6">
      <c r="B6" s="7" t="inlineStr">
        <is>
          <t>オペレーティング前提（年度別）</t>
        </is>
      </c>
    </row>
    <row r="7">
      <c r="B7" s="4" t="inlineStr">
        <is>
          <t>稼働率（Utilization）</t>
        </is>
      </c>
      <c r="C7" s="10">
        <f>KPI_Drivers!C8</f>
        <v/>
      </c>
      <c r="D7" s="10">
        <f>KPI_Drivers!D8</f>
        <v/>
      </c>
      <c r="E7" s="10">
        <f>KPI_Drivers!E8</f>
        <v/>
      </c>
      <c r="F7" s="10">
        <f>KPI_Drivers!F8</f>
        <v/>
      </c>
      <c r="G7" s="10">
        <f>KPI_Drivers!G8</f>
        <v/>
      </c>
      <c r="H7" s="11">
        <f>KPI_Drivers!H8</f>
        <v/>
      </c>
      <c r="I7" s="11">
        <f>KPI_Drivers!I8</f>
        <v/>
      </c>
      <c r="J7" s="11">
        <f>KPI_Drivers!J8</f>
        <v/>
      </c>
      <c r="K7" s="11">
        <f>KPI_Drivers!K8</f>
        <v/>
      </c>
      <c r="L7" s="11">
        <f>KPI_Drivers!L8</f>
        <v/>
      </c>
      <c r="M7" s="11">
        <f>KPI_Drivers!M8</f>
        <v/>
      </c>
      <c r="N7" s="11">
        <f>KPI_Drivers!N8</f>
        <v/>
      </c>
    </row>
    <row r="8">
      <c r="B8" s="4" t="inlineStr">
        <is>
          <t>派遣単価（円/h）</t>
        </is>
      </c>
      <c r="C8" s="12">
        <f>KPI_Drivers!C11</f>
        <v/>
      </c>
      <c r="D8" s="12">
        <f>KPI_Drivers!D11</f>
        <v/>
      </c>
      <c r="E8" s="12">
        <f>KPI_Drivers!E11</f>
        <v/>
      </c>
      <c r="F8" s="12">
        <f>KPI_Drivers!F11</f>
        <v/>
      </c>
      <c r="G8" s="12">
        <f>KPI_Drivers!G11</f>
        <v/>
      </c>
      <c r="H8" s="13">
        <f>KPI_Drivers!H11</f>
        <v/>
      </c>
      <c r="I8" s="13">
        <f>KPI_Drivers!I11</f>
        <v/>
      </c>
      <c r="J8" s="13">
        <f>KPI_Drivers!J11</f>
        <v/>
      </c>
      <c r="K8" s="13">
        <f>KPI_Drivers!K11</f>
        <v/>
      </c>
      <c r="L8" s="13">
        <f>KPI_Drivers!L11</f>
        <v/>
      </c>
      <c r="M8" s="13">
        <f>KPI_Drivers!M11</f>
        <v/>
      </c>
      <c r="N8" s="13">
        <f>KPI_Drivers!N11</f>
        <v/>
      </c>
    </row>
    <row r="9">
      <c r="B9" s="4" t="inlineStr">
        <is>
          <t>採用単価（CPA・千円/名）</t>
        </is>
      </c>
      <c r="C9" s="12">
        <f>KPI_Drivers!C15</f>
        <v/>
      </c>
      <c r="D9" s="12">
        <f>KPI_Drivers!D15</f>
        <v/>
      </c>
      <c r="E9" s="12">
        <f>KPI_Drivers!E15</f>
        <v/>
      </c>
      <c r="F9" s="12">
        <f>KPI_Drivers!F15</f>
        <v/>
      </c>
      <c r="G9" s="12">
        <f>KPI_Drivers!G15</f>
        <v/>
      </c>
      <c r="H9" s="13">
        <f>KPI_Drivers!H15</f>
        <v/>
      </c>
      <c r="I9" s="13">
        <f>KPI_Drivers!I15</f>
        <v/>
      </c>
      <c r="J9" s="13">
        <f>KPI_Drivers!J15</f>
        <v/>
      </c>
      <c r="K9" s="13">
        <f>KPI_Drivers!K15</f>
        <v/>
      </c>
      <c r="L9" s="13">
        <f>KPI_Drivers!L15</f>
        <v/>
      </c>
      <c r="M9" s="13">
        <f>KPI_Drivers!M15</f>
        <v/>
      </c>
      <c r="N9" s="13">
        <f>KPI_Drivers!N15</f>
        <v/>
      </c>
    </row>
    <row r="10">
      <c r="B10" s="4" t="inlineStr">
        <is>
          <t>新規採用人数（名）</t>
        </is>
      </c>
      <c r="C10" s="12">
        <f>KPI_Drivers!C14</f>
        <v/>
      </c>
      <c r="D10" s="12">
        <f>KPI_Drivers!D14</f>
        <v/>
      </c>
      <c r="E10" s="12">
        <f>KPI_Drivers!E14</f>
        <v/>
      </c>
      <c r="F10" s="12">
        <f>KPI_Drivers!F14</f>
        <v/>
      </c>
      <c r="G10" s="12">
        <f>KPI_Drivers!G14</f>
        <v/>
      </c>
      <c r="H10" s="13">
        <f>KPI_Drivers!H14</f>
        <v/>
      </c>
      <c r="I10" s="13">
        <f>KPI_Drivers!I14</f>
        <v/>
      </c>
      <c r="J10" s="13">
        <f>KPI_Drivers!J14</f>
        <v/>
      </c>
      <c r="K10" s="13">
        <f>KPI_Drivers!K14</f>
        <v/>
      </c>
      <c r="L10" s="13">
        <f>KPI_Drivers!L14</f>
        <v/>
      </c>
      <c r="M10" s="13">
        <f>KPI_Drivers!M14</f>
        <v/>
      </c>
      <c r="N10" s="13">
        <f>KPI_Drivers!N14</f>
        <v/>
      </c>
    </row>
    <row r="12">
      <c r="B12" s="7" t="inlineStr">
        <is>
          <t>ストラクチャー（千円）</t>
        </is>
      </c>
    </row>
    <row r="13">
      <c r="B13" s="4" t="inlineStr">
        <is>
          <t>エンタープライズ・バリュー（EV）</t>
        </is>
      </c>
      <c r="D13" s="13" t="n">
        <v>12000000</v>
      </c>
    </row>
    <row r="14">
      <c r="B14" s="4" t="inlineStr">
        <is>
          <t>エクイティ出資</t>
        </is>
      </c>
      <c r="D14" s="13" t="n">
        <v>5500000</v>
      </c>
    </row>
    <row r="15">
      <c r="B15" s="4" t="inlineStr">
        <is>
          <t>シニアローン総額</t>
        </is>
      </c>
      <c r="D15" s="13" t="n">
        <v>6500000</v>
      </c>
    </row>
    <row r="16">
      <c r="B16" s="4" t="inlineStr">
        <is>
          <t xml:space="preserve">　うち参加金融機関A行 想定取組額</t>
        </is>
      </c>
      <c r="D16" s="13" t="n">
        <v>2500000</v>
      </c>
    </row>
    <row r="17">
      <c r="B17" s="4" t="inlineStr">
        <is>
          <t>ローン期間（年）</t>
        </is>
      </c>
      <c r="D17" s="14" t="n">
        <v>7</v>
      </c>
    </row>
    <row r="18">
      <c r="B18" s="4" t="inlineStr">
        <is>
          <t>適用金利（TIBOR+200bp想定）</t>
        </is>
      </c>
      <c r="D18" s="11" t="n">
        <v>0.022</v>
      </c>
    </row>
    <row r="19">
      <c r="B19" s="4" t="inlineStr">
        <is>
          <t>約定弁済（年・最終回残額一括）</t>
        </is>
      </c>
      <c r="D19" s="13" t="n">
        <v>650000</v>
      </c>
    </row>
    <row r="20">
      <c r="B20" s="4" t="inlineStr">
        <is>
          <t>クローズ想定</t>
        </is>
      </c>
      <c r="D20" s="4" t="inlineStr">
        <is>
          <t>2026年9月末</t>
        </is>
      </c>
    </row>
    <row r="21">
      <c r="B21" s="4" t="inlineStr">
        <is>
          <t>のれん想定額（暫定PPA前）</t>
        </is>
      </c>
      <c r="D21" s="13" t="n">
        <v>5500000</v>
      </c>
    </row>
    <row r="23">
      <c r="B23" s="7" t="inlineStr">
        <is>
          <t>その他前提</t>
        </is>
      </c>
    </row>
    <row r="24">
      <c r="B24" s="4" t="inlineStr">
        <is>
          <t>実効税率</t>
        </is>
      </c>
      <c r="D24" s="11" t="n">
        <v>0.31</v>
      </c>
    </row>
    <row r="25">
      <c r="B25" s="4" t="inlineStr">
        <is>
          <t>売上債権回転日数</t>
        </is>
      </c>
      <c r="D25" s="14" t="n">
        <v>45</v>
      </c>
    </row>
    <row r="26">
      <c r="B26" s="4" t="inlineStr">
        <is>
          <t>買収時現金調整（取引費用等）</t>
        </is>
      </c>
      <c r="D26" s="13" t="n">
        <v>-750000</v>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2E6DA4"/>
    <outlinePr summaryBelow="1" summaryRight="1"/>
    <pageSetUpPr fitToPage="1"/>
  </sheetPr>
  <dimension ref="A1:N3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損益計算書（Projected P&amp;L）</t>
        </is>
      </c>
    </row>
    <row r="2">
      <c r="E2" s="7" t="inlineStr">
        <is>
          <t>ケース: Base Case</t>
        </is>
      </c>
      <c r="N2" s="15" t="inlineStr">
        <is>
          <t>単位:千円</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派遣事業売上</t>
        </is>
      </c>
      <c r="C7" s="16" t="n">
        <v>10929485</v>
      </c>
      <c r="D7" s="16" t="n">
        <v>11669061</v>
      </c>
      <c r="E7" s="16" t="n">
        <v>12314768</v>
      </c>
      <c r="F7" s="16" t="n">
        <v>13205127</v>
      </c>
      <c r="G7" s="16" t="n">
        <v>13988621</v>
      </c>
      <c r="H7" s="17">
        <f>ROUND(KPI_Drivers!H9*KPI_Drivers!H10*KPI_Drivers!H11*12/1000,0)</f>
        <v/>
      </c>
      <c r="I7" s="17">
        <f>ROUND(KPI_Drivers!I9*KPI_Drivers!I10*KPI_Drivers!I11*12/1000,0)</f>
        <v/>
      </c>
      <c r="J7" s="17">
        <f>ROUND(KPI_Drivers!J9*KPI_Drivers!J10*KPI_Drivers!J11*12/1000,0)</f>
        <v/>
      </c>
      <c r="K7" s="17">
        <f>ROUND(KPI_Drivers!K9*KPI_Drivers!K10*KPI_Drivers!K11*12/1000,0)</f>
        <v/>
      </c>
      <c r="L7" s="17">
        <f>ROUND(KPI_Drivers!L9*KPI_Drivers!L10*KPI_Drivers!L11*12/1000,0)</f>
        <v/>
      </c>
      <c r="M7" s="17">
        <f>ROUND(KPI_Drivers!M9*KPI_Drivers!M10*KPI_Drivers!M11*12/1000,0)</f>
        <v/>
      </c>
      <c r="N7" s="17">
        <f>ROUND(KPI_Drivers!N9*KPI_Drivers!N10*KPI_Drivers!N11*12/1000,0)</f>
        <v/>
      </c>
    </row>
    <row r="8">
      <c r="B8" s="4" t="inlineStr">
        <is>
          <t>その他営業収入（紹介手数料等）</t>
        </is>
      </c>
      <c r="C8" s="16" t="n">
        <v>130000</v>
      </c>
      <c r="D8" s="16" t="n">
        <v>138000</v>
      </c>
      <c r="E8" s="16" t="n">
        <v>145232</v>
      </c>
      <c r="F8" s="16" t="n">
        <v>158000</v>
      </c>
      <c r="G8" s="16" t="n">
        <v>171379</v>
      </c>
      <c r="H8" s="17" t="n">
        <v>176092</v>
      </c>
      <c r="I8" s="17" t="n">
        <v>180000</v>
      </c>
      <c r="J8" s="17" t="n">
        <v>184000</v>
      </c>
      <c r="K8" s="17" t="n">
        <v>188000</v>
      </c>
      <c r="L8" s="17" t="n">
        <v>192000</v>
      </c>
      <c r="M8" s="17" t="n">
        <v>196000</v>
      </c>
      <c r="N8" s="17" t="n">
        <v>200000</v>
      </c>
    </row>
    <row r="9">
      <c r="B9" s="7" t="inlineStr">
        <is>
          <t>売上高（Net Sales）</t>
        </is>
      </c>
      <c r="C9" s="18">
        <f>SUM(C7:C8)</f>
        <v/>
      </c>
      <c r="D9" s="18">
        <f>SUM(D7:D8)</f>
        <v/>
      </c>
      <c r="E9" s="18">
        <f>SUM(E7:E8)</f>
        <v/>
      </c>
      <c r="F9" s="18">
        <f>SUM(F7:F8)</f>
        <v/>
      </c>
      <c r="G9" s="18">
        <f>SUM(G7:G8)</f>
        <v/>
      </c>
      <c r="H9" s="19">
        <f>SUM(H7:H8)</f>
        <v/>
      </c>
      <c r="I9" s="19">
        <f>SUM(I7:I8)</f>
        <v/>
      </c>
      <c r="J9" s="19">
        <f>SUM(J7:J8)</f>
        <v/>
      </c>
      <c r="K9" s="19">
        <f>SUM(K7:K8)</f>
        <v/>
      </c>
      <c r="L9" s="19">
        <f>SUM(L7:L8)</f>
        <v/>
      </c>
      <c r="M9" s="19">
        <f>SUM(M7:M8)</f>
        <v/>
      </c>
      <c r="N9" s="19">
        <f>SUM(N7:N8)</f>
        <v/>
      </c>
    </row>
    <row r="11">
      <c r="B11" s="4" t="inlineStr">
        <is>
          <t>スタッフ労務費（法定福利費込）</t>
        </is>
      </c>
      <c r="C11" s="16" t="n">
        <v>8625886</v>
      </c>
      <c r="D11" s="16" t="n">
        <v>9214737</v>
      </c>
      <c r="E11" s="16" t="n">
        <v>9729886</v>
      </c>
      <c r="F11" s="16" t="n">
        <v>10413461</v>
      </c>
      <c r="G11" s="16" t="n">
        <v>11011043</v>
      </c>
      <c r="H11" s="17">
        <f>ROUND(KPI_Drivers!H9*KPI_Drivers!H10*KPI_Drivers!H12*(1+KPI_Drivers!H13)*12/1000,0)</f>
        <v/>
      </c>
      <c r="I11" s="17">
        <f>ROUND(KPI_Drivers!I9*KPI_Drivers!I10*KPI_Drivers!I12*(1+KPI_Drivers!I13)*12/1000,0)</f>
        <v/>
      </c>
      <c r="J11" s="17">
        <f>ROUND(KPI_Drivers!J9*KPI_Drivers!J10*KPI_Drivers!J12*(1+KPI_Drivers!J13)*12/1000,0)</f>
        <v/>
      </c>
      <c r="K11" s="17">
        <f>ROUND(KPI_Drivers!K9*KPI_Drivers!K10*KPI_Drivers!K12*(1+KPI_Drivers!K13)*12/1000,0)</f>
        <v/>
      </c>
      <c r="L11" s="17">
        <f>ROUND(KPI_Drivers!L9*KPI_Drivers!L10*KPI_Drivers!L12*(1+KPI_Drivers!L13)*12/1000,0)</f>
        <v/>
      </c>
      <c r="M11" s="17">
        <f>ROUND(KPI_Drivers!M9*KPI_Drivers!M10*KPI_Drivers!M12*(1+KPI_Drivers!M13)*12/1000,0)</f>
        <v/>
      </c>
      <c r="N11" s="17">
        <f>ROUND(KPI_Drivers!N9*KPI_Drivers!N10*KPI_Drivers!N12*(1+KPI_Drivers!N13)*12/1000,0)</f>
        <v/>
      </c>
    </row>
    <row r="12">
      <c r="B12" s="4" t="inlineStr">
        <is>
          <t>その他売上原価</t>
        </is>
      </c>
      <c r="C12" s="16" t="n">
        <v>265000</v>
      </c>
      <c r="D12" s="16" t="n">
        <v>272000</v>
      </c>
      <c r="E12" s="16" t="n">
        <v>282000</v>
      </c>
      <c r="F12" s="16" t="n">
        <v>290000</v>
      </c>
      <c r="G12" s="16" t="n">
        <v>300000</v>
      </c>
      <c r="H12" s="17" t="n">
        <v>310000</v>
      </c>
      <c r="I12" s="17" t="n">
        <v>318000</v>
      </c>
      <c r="J12" s="17" t="n">
        <v>326000</v>
      </c>
      <c r="K12" s="17" t="n">
        <v>334000</v>
      </c>
      <c r="L12" s="17" t="n">
        <v>342000</v>
      </c>
      <c r="M12" s="17" t="n">
        <v>350000</v>
      </c>
      <c r="N12" s="17" t="n">
        <v>358000</v>
      </c>
    </row>
    <row r="13">
      <c r="B13" s="4" t="inlineStr">
        <is>
          <t>売上原価 合計</t>
        </is>
      </c>
      <c r="C13" s="16">
        <f>C11+C12</f>
        <v/>
      </c>
      <c r="D13" s="16">
        <f>D11+D12</f>
        <v/>
      </c>
      <c r="E13" s="16">
        <f>E11+E12</f>
        <v/>
      </c>
      <c r="F13" s="16">
        <f>F11+F12</f>
        <v/>
      </c>
      <c r="G13" s="16">
        <f>G11+G12</f>
        <v/>
      </c>
      <c r="H13" s="17">
        <f>H11+H12</f>
        <v/>
      </c>
      <c r="I13" s="17">
        <f>I11+I12</f>
        <v/>
      </c>
      <c r="J13" s="17">
        <f>J11+J12</f>
        <v/>
      </c>
      <c r="K13" s="17">
        <f>K11+K12</f>
        <v/>
      </c>
      <c r="L13" s="17">
        <f>L11+L12</f>
        <v/>
      </c>
      <c r="M13" s="17">
        <f>M11+M12</f>
        <v/>
      </c>
      <c r="N13" s="17">
        <f>N11+N12</f>
        <v/>
      </c>
    </row>
    <row r="14">
      <c r="B14" s="7" t="inlineStr">
        <is>
          <t>売上総利益</t>
        </is>
      </c>
      <c r="C14" s="18">
        <f>C9-C13</f>
        <v/>
      </c>
      <c r="D14" s="18">
        <f>D9-D13</f>
        <v/>
      </c>
      <c r="E14" s="18">
        <f>E9-E13</f>
        <v/>
      </c>
      <c r="F14" s="18">
        <f>F9-F13</f>
        <v/>
      </c>
      <c r="G14" s="18">
        <f>G9-G13</f>
        <v/>
      </c>
      <c r="H14" s="19">
        <f>H9-H13</f>
        <v/>
      </c>
      <c r="I14" s="19">
        <f>I9-I13</f>
        <v/>
      </c>
      <c r="J14" s="19">
        <f>J9-J13</f>
        <v/>
      </c>
      <c r="K14" s="19">
        <f>K9-K13</f>
        <v/>
      </c>
      <c r="L14" s="19">
        <f>L9-L13</f>
        <v/>
      </c>
      <c r="M14" s="19">
        <f>M9-M13</f>
        <v/>
      </c>
      <c r="N14" s="19">
        <f>N9-N13</f>
        <v/>
      </c>
    </row>
    <row r="15">
      <c r="B15" s="4" t="inlineStr">
        <is>
          <t>売上総利益率</t>
        </is>
      </c>
      <c r="C15" s="10">
        <f>C14/C9</f>
        <v/>
      </c>
      <c r="D15" s="10">
        <f>D14/D9</f>
        <v/>
      </c>
      <c r="E15" s="10">
        <f>E14/E9</f>
        <v/>
      </c>
      <c r="F15" s="10">
        <f>F14/F9</f>
        <v/>
      </c>
      <c r="G15" s="10">
        <f>G14/G9</f>
        <v/>
      </c>
      <c r="H15" s="11">
        <f>H14/H9</f>
        <v/>
      </c>
      <c r="I15" s="11">
        <f>I14/I9</f>
        <v/>
      </c>
      <c r="J15" s="11">
        <f>J14/J9</f>
        <v/>
      </c>
      <c r="K15" s="11">
        <f>K14/K9</f>
        <v/>
      </c>
      <c r="L15" s="11">
        <f>L14/L9</f>
        <v/>
      </c>
      <c r="M15" s="11">
        <f>M14/M9</f>
        <v/>
      </c>
      <c r="N15" s="11">
        <f>N14/N9</f>
        <v/>
      </c>
    </row>
    <row r="17">
      <c r="B17" s="4" t="inlineStr">
        <is>
          <t>採用費</t>
        </is>
      </c>
      <c r="C17" s="16" t="n">
        <v>188600</v>
      </c>
      <c r="D17" s="16" t="n">
        <v>210700</v>
      </c>
      <c r="E17" s="16" t="n">
        <v>236250</v>
      </c>
      <c r="F17" s="16" t="n">
        <v>266560</v>
      </c>
      <c r="G17" s="16" t="n">
        <v>295000</v>
      </c>
      <c r="H17" s="17">
        <f>KPI_Drivers!H14*KPI_Drivers!H15</f>
        <v/>
      </c>
      <c r="I17" s="17">
        <f>KPI_Drivers!I14*KPI_Drivers!I15</f>
        <v/>
      </c>
      <c r="J17" s="17">
        <f>KPI_Drivers!J14*KPI_Drivers!J15</f>
        <v/>
      </c>
      <c r="K17" s="17">
        <f>KPI_Drivers!K14*KPI_Drivers!K15</f>
        <v/>
      </c>
      <c r="L17" s="17">
        <f>KPI_Drivers!L14*KPI_Drivers!L15</f>
        <v/>
      </c>
      <c r="M17" s="17">
        <f>KPI_Drivers!M14*KPI_Drivers!M15</f>
        <v/>
      </c>
      <c r="N17" s="17">
        <f>KPI_Drivers!N14*KPI_Drivers!N15</f>
        <v/>
      </c>
    </row>
    <row r="18">
      <c r="B18" s="4" t="inlineStr">
        <is>
          <t>本社人件費</t>
        </is>
      </c>
      <c r="C18" s="16" t="n">
        <v>555000</v>
      </c>
      <c r="D18" s="16" t="n">
        <v>570000</v>
      </c>
      <c r="E18" s="16" t="n">
        <v>585000</v>
      </c>
      <c r="F18" s="16" t="n">
        <v>600000</v>
      </c>
      <c r="G18" s="16" t="n">
        <v>620000</v>
      </c>
      <c r="H18" s="17" t="n">
        <v>640000</v>
      </c>
      <c r="I18" s="17" t="n">
        <v>652000</v>
      </c>
      <c r="J18" s="17" t="n">
        <v>664000</v>
      </c>
      <c r="K18" s="17" t="n">
        <v>676000</v>
      </c>
      <c r="L18" s="17" t="n">
        <v>688000</v>
      </c>
      <c r="M18" s="17" t="n">
        <v>700000</v>
      </c>
      <c r="N18" s="17" t="n">
        <v>712000</v>
      </c>
    </row>
    <row r="19">
      <c r="B19" s="4" t="inlineStr">
        <is>
          <t>その他販管費</t>
        </is>
      </c>
      <c r="C19" s="16" t="n">
        <v>385000</v>
      </c>
      <c r="D19" s="16" t="n">
        <v>391000</v>
      </c>
      <c r="E19" s="16" t="n">
        <v>398000</v>
      </c>
      <c r="F19" s="16" t="n">
        <v>405000</v>
      </c>
      <c r="G19" s="16" t="n">
        <v>419000</v>
      </c>
      <c r="H19" s="17" t="n">
        <v>428507</v>
      </c>
      <c r="I19" s="17" t="n">
        <v>433000</v>
      </c>
      <c r="J19" s="17" t="n">
        <v>437500</v>
      </c>
      <c r="K19" s="17" t="n">
        <v>442000</v>
      </c>
      <c r="L19" s="17" t="n">
        <v>446500</v>
      </c>
      <c r="M19" s="17" t="n">
        <v>451000</v>
      </c>
      <c r="N19" s="17" t="n">
        <v>455500</v>
      </c>
    </row>
    <row r="20">
      <c r="B20" s="4" t="inlineStr">
        <is>
          <t>販売費及び一般管理費 合計</t>
        </is>
      </c>
      <c r="C20" s="16">
        <f>SUM(C17:C19)</f>
        <v/>
      </c>
      <c r="D20" s="16">
        <f>SUM(D17:D19)</f>
        <v/>
      </c>
      <c r="E20" s="16">
        <f>SUM(E17:E19)</f>
        <v/>
      </c>
      <c r="F20" s="16">
        <f>SUM(F17:F19)</f>
        <v/>
      </c>
      <c r="G20" s="16">
        <f>SUM(G17:G19)</f>
        <v/>
      </c>
      <c r="H20" s="17">
        <f>SUM(H17:H19)</f>
        <v/>
      </c>
      <c r="I20" s="17">
        <f>SUM(I17:I19)</f>
        <v/>
      </c>
      <c r="J20" s="17">
        <f>SUM(J17:J19)</f>
        <v/>
      </c>
      <c r="K20" s="17">
        <f>SUM(K17:K19)</f>
        <v/>
      </c>
      <c r="L20" s="17">
        <f>SUM(L17:L19)</f>
        <v/>
      </c>
      <c r="M20" s="17">
        <f>SUM(M17:M19)</f>
        <v/>
      </c>
      <c r="N20" s="17">
        <f>SUM(N17:N19)</f>
        <v/>
      </c>
    </row>
    <row r="21">
      <c r="B21" s="7" t="inlineStr">
        <is>
          <t>営業利益（Operating Profit）</t>
        </is>
      </c>
      <c r="C21" s="18">
        <f>C14-C20</f>
        <v/>
      </c>
      <c r="D21" s="18">
        <f>D14-D20</f>
        <v/>
      </c>
      <c r="E21" s="18">
        <f>E14-E20</f>
        <v/>
      </c>
      <c r="F21" s="18">
        <f>F14-F20</f>
        <v/>
      </c>
      <c r="G21" s="18">
        <f>G14-G20</f>
        <v/>
      </c>
      <c r="H21" s="19">
        <f>H14-H20</f>
        <v/>
      </c>
      <c r="I21" s="19">
        <f>I14-I20</f>
        <v/>
      </c>
      <c r="J21" s="19">
        <f>J14-J20</f>
        <v/>
      </c>
      <c r="K21" s="19">
        <f>K14-K20</f>
        <v/>
      </c>
      <c r="L21" s="19">
        <f>L14-L20</f>
        <v/>
      </c>
      <c r="M21" s="19">
        <f>M14-M20</f>
        <v/>
      </c>
      <c r="N21" s="19">
        <f>N14-N20</f>
        <v/>
      </c>
    </row>
    <row r="22">
      <c r="B22" s="4" t="inlineStr">
        <is>
          <t>営業利益率</t>
        </is>
      </c>
      <c r="C22" s="10">
        <f>C21/C9</f>
        <v/>
      </c>
      <c r="D22" s="10">
        <f>D21/D9</f>
        <v/>
      </c>
      <c r="E22" s="10">
        <f>E21/E9</f>
        <v/>
      </c>
      <c r="F22" s="10">
        <f>F21/F9</f>
        <v/>
      </c>
      <c r="G22" s="10">
        <f>G21/G9</f>
        <v/>
      </c>
      <c r="H22" s="11">
        <f>H21/H9</f>
        <v/>
      </c>
      <c r="I22" s="11">
        <f>I21/I9</f>
        <v/>
      </c>
      <c r="J22" s="11">
        <f>J21/J9</f>
        <v/>
      </c>
      <c r="K22" s="11">
        <f>K21/K9</f>
        <v/>
      </c>
      <c r="L22" s="11">
        <f>L21/L9</f>
        <v/>
      </c>
      <c r="M22" s="11">
        <f>M21/M9</f>
        <v/>
      </c>
      <c r="N22" s="11">
        <f>N21/N9</f>
        <v/>
      </c>
    </row>
    <row r="24">
      <c r="B24" s="4" t="inlineStr">
        <is>
          <t>減価償却費</t>
        </is>
      </c>
      <c r="C24" s="16" t="n">
        <v>84000</v>
      </c>
      <c r="D24" s="16" t="n">
        <v>88000</v>
      </c>
      <c r="E24" s="16" t="n">
        <v>92000</v>
      </c>
      <c r="F24" s="16" t="n">
        <v>98000</v>
      </c>
      <c r="G24" s="16" t="n">
        <v>105043</v>
      </c>
      <c r="H24" s="17" t="n">
        <v>113700</v>
      </c>
      <c r="I24" s="17" t="n">
        <v>115700</v>
      </c>
      <c r="J24" s="17" t="n">
        <v>117700</v>
      </c>
      <c r="K24" s="17" t="n">
        <v>119700</v>
      </c>
      <c r="L24" s="17" t="n">
        <v>121700</v>
      </c>
      <c r="M24" s="17" t="n">
        <v>123700</v>
      </c>
      <c r="N24" s="17" t="n">
        <v>125700</v>
      </c>
    </row>
    <row r="25">
      <c r="B25" s="7" t="inlineStr">
        <is>
          <t>Adj. EBITDA</t>
        </is>
      </c>
      <c r="C25" s="18">
        <f>C21+C24</f>
        <v/>
      </c>
      <c r="D25" s="18">
        <f>D21+D24</f>
        <v/>
      </c>
      <c r="E25" s="18">
        <f>E21+E24</f>
        <v/>
      </c>
      <c r="F25" s="18">
        <f>F21+F24</f>
        <v/>
      </c>
      <c r="G25" s="18">
        <f>G21+G24</f>
        <v/>
      </c>
      <c r="H25" s="19">
        <f>H21+H24</f>
        <v/>
      </c>
      <c r="I25" s="19">
        <f>I21+I24</f>
        <v/>
      </c>
      <c r="J25" s="19">
        <f>J21+J24</f>
        <v/>
      </c>
      <c r="K25" s="19">
        <f>K21+K24</f>
        <v/>
      </c>
      <c r="L25" s="19">
        <f>L21+L24</f>
        <v/>
      </c>
      <c r="M25" s="19">
        <f>M21+M24</f>
        <v/>
      </c>
      <c r="N25" s="19">
        <f>N21+N24</f>
        <v/>
      </c>
    </row>
    <row r="26">
      <c r="B26" s="4" t="inlineStr">
        <is>
          <t>EBITDAマージン</t>
        </is>
      </c>
      <c r="C26" s="10">
        <f>C25/C9</f>
        <v/>
      </c>
      <c r="D26" s="10">
        <f>D25/D9</f>
        <v/>
      </c>
      <c r="E26" s="10">
        <f>E25/E9</f>
        <v/>
      </c>
      <c r="F26" s="10">
        <f>F25/F9</f>
        <v/>
      </c>
      <c r="G26" s="10">
        <f>G25/G9</f>
        <v/>
      </c>
      <c r="H26" s="11">
        <f>H25/H9</f>
        <v/>
      </c>
      <c r="I26" s="11">
        <f>I25/I9</f>
        <v/>
      </c>
      <c r="J26" s="11">
        <f>J25/J9</f>
        <v/>
      </c>
      <c r="K26" s="11">
        <f>K25/K9</f>
        <v/>
      </c>
      <c r="L26" s="11">
        <f>L25/L9</f>
        <v/>
      </c>
      <c r="M26" s="11">
        <f>M25/M9</f>
        <v/>
      </c>
      <c r="N26" s="11">
        <f>N25/N9</f>
        <v/>
      </c>
    </row>
    <row r="28">
      <c r="B28" s="4" t="inlineStr">
        <is>
          <t>支払利息</t>
        </is>
      </c>
      <c r="C28" s="16" t="n">
        <v>16000</v>
      </c>
      <c r="D28" s="16" t="n">
        <v>15000</v>
      </c>
      <c r="E28" s="16" t="n">
        <v>14000</v>
      </c>
      <c r="F28" s="16" t="n">
        <v>13000</v>
      </c>
      <c r="G28" s="16" t="n">
        <v>12000</v>
      </c>
      <c r="H28" s="17">
        <f>Debt_Schedule!H12</f>
        <v/>
      </c>
      <c r="I28" s="17">
        <f>Debt_Schedule!I12</f>
        <v/>
      </c>
      <c r="J28" s="17">
        <f>Debt_Schedule!J12</f>
        <v/>
      </c>
      <c r="K28" s="17">
        <f>Debt_Schedule!K12</f>
        <v/>
      </c>
      <c r="L28" s="17">
        <f>Debt_Schedule!L12</f>
        <v/>
      </c>
      <c r="M28" s="17">
        <f>Debt_Schedule!M12</f>
        <v/>
      </c>
      <c r="N28" s="17">
        <f>Debt_Schedule!N12</f>
        <v/>
      </c>
    </row>
    <row r="29">
      <c r="B29" s="4" t="inlineStr">
        <is>
          <t>営業外損益（純額）</t>
        </is>
      </c>
      <c r="C29" s="16" t="n">
        <v>4200</v>
      </c>
      <c r="D29" s="16" t="n">
        <v>4500</v>
      </c>
      <c r="E29" s="16" t="n">
        <v>4800</v>
      </c>
      <c r="F29" s="16" t="n">
        <v>5200</v>
      </c>
      <c r="G29" s="16" t="n">
        <v>5500</v>
      </c>
      <c r="H29" s="17" t="n">
        <v>6000</v>
      </c>
      <c r="I29" s="17" t="n">
        <v>6000</v>
      </c>
      <c r="J29" s="17" t="n">
        <v>6000</v>
      </c>
      <c r="K29" s="17" t="n">
        <v>6000</v>
      </c>
      <c r="L29" s="17" t="n">
        <v>6000</v>
      </c>
      <c r="M29" s="17" t="n">
        <v>6000</v>
      </c>
      <c r="N29" s="17" t="n">
        <v>6000</v>
      </c>
    </row>
    <row r="30">
      <c r="B30" s="7" t="inlineStr">
        <is>
          <t>経常利益</t>
        </is>
      </c>
      <c r="C30" s="18">
        <f>C21-C28+C29</f>
        <v/>
      </c>
      <c r="D30" s="18">
        <f>D21-D28+D29</f>
        <v/>
      </c>
      <c r="E30" s="18">
        <f>E21-E28+E29</f>
        <v/>
      </c>
      <c r="F30" s="18">
        <f>F21-F28+F29</f>
        <v/>
      </c>
      <c r="G30" s="18">
        <f>G21-G28+G29</f>
        <v/>
      </c>
      <c r="H30" s="19">
        <f>H21-H28+H29</f>
        <v/>
      </c>
      <c r="I30" s="19">
        <f>I21-I28+I29</f>
        <v/>
      </c>
      <c r="J30" s="19">
        <f>J21-J28+J29</f>
        <v/>
      </c>
      <c r="K30" s="19">
        <f>K21-K28+K29</f>
        <v/>
      </c>
      <c r="L30" s="19">
        <f>L21-L28+L29</f>
        <v/>
      </c>
      <c r="M30" s="19">
        <f>M21-M28+M29</f>
        <v/>
      </c>
      <c r="N30" s="19">
        <f>N21-N28+N29</f>
        <v/>
      </c>
    </row>
    <row r="31">
      <c r="B31" s="4" t="inlineStr">
        <is>
          <t>法人税等（実効税率31%）</t>
        </is>
      </c>
      <c r="C31" s="16">
        <f>ROUND(C30*0.31,0)</f>
        <v/>
      </c>
      <c r="D31" s="16">
        <f>ROUND(D30*0.31,0)</f>
        <v/>
      </c>
      <c r="E31" s="16">
        <f>ROUND(E30*0.31,0)</f>
        <v/>
      </c>
      <c r="F31" s="16">
        <f>ROUND(F30*0.31,0)</f>
        <v/>
      </c>
      <c r="G31" s="16">
        <f>ROUND(G30*0.31,0)</f>
        <v/>
      </c>
      <c r="H31" s="17">
        <f>ROUND(H30*0.31,0)</f>
        <v/>
      </c>
      <c r="I31" s="17">
        <f>ROUND(I30*0.31,0)</f>
        <v/>
      </c>
      <c r="J31" s="17">
        <f>ROUND(J30*0.31,0)</f>
        <v/>
      </c>
      <c r="K31" s="17">
        <f>ROUND(K30*0.31,0)</f>
        <v/>
      </c>
      <c r="L31" s="17">
        <f>ROUND(L30*0.31,0)</f>
        <v/>
      </c>
      <c r="M31" s="17">
        <f>ROUND(M30*0.31,0)</f>
        <v/>
      </c>
      <c r="N31" s="17">
        <f>ROUND(N30*0.31,0)</f>
        <v/>
      </c>
    </row>
    <row r="32">
      <c r="B32" s="7" t="inlineStr">
        <is>
          <t>当期純利益</t>
        </is>
      </c>
      <c r="C32" s="18">
        <f>C30-C31</f>
        <v/>
      </c>
      <c r="D32" s="18">
        <f>D30-D31</f>
        <v/>
      </c>
      <c r="E32" s="18">
        <f>E30-E31</f>
        <v/>
      </c>
      <c r="F32" s="18">
        <f>F30-F31</f>
        <v/>
      </c>
      <c r="G32" s="18">
        <f>G30-G31</f>
        <v/>
      </c>
      <c r="H32" s="19">
        <f>H30-H31</f>
        <v/>
      </c>
      <c r="I32" s="19">
        <f>I30-I31</f>
        <v/>
      </c>
      <c r="J32" s="19">
        <f>J30-J31</f>
        <v/>
      </c>
      <c r="K32" s="19">
        <f>K30-K31</f>
        <v/>
      </c>
      <c r="L32" s="19">
        <f>L30-L31</f>
        <v/>
      </c>
      <c r="M32" s="19">
        <f>M30-M31</f>
        <v/>
      </c>
      <c r="N32" s="19">
        <f>N30-N31</f>
        <v/>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2E6DA4"/>
    <outlinePr summaryBelow="1" summaryRight="1"/>
    <pageSetUpPr fitToPage="1"/>
  </sheetPr>
  <dimension ref="A1:N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貸借対照表（Projected B/S）</t>
        </is>
      </c>
    </row>
    <row r="2">
      <c r="A2" s="5" t="inlineStr">
        <is>
          <t>（単位：千円）</t>
        </is>
      </c>
      <c r="E2" s="7" t="inlineStr">
        <is>
          <t>ケース: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現金及び預金</t>
        </is>
      </c>
      <c r="C7" s="16" t="n">
        <v>1150000</v>
      </c>
      <c r="D7" s="16" t="n">
        <v>1300000</v>
      </c>
      <c r="E7" s="16" t="n">
        <v>1420000</v>
      </c>
      <c r="F7" s="16" t="n">
        <v>1640000</v>
      </c>
      <c r="G7" s="16" t="n">
        <v>1850000</v>
      </c>
      <c r="H7" s="17" t="n">
        <v>1457150</v>
      </c>
      <c r="I7" s="17" t="n">
        <v>1860969</v>
      </c>
      <c r="J7" s="17" t="n">
        <v>2335018</v>
      </c>
      <c r="K7" s="17" t="n">
        <v>2883007</v>
      </c>
      <c r="L7" s="17" t="n">
        <v>3506456</v>
      </c>
      <c r="M7" s="17" t="n">
        <v>4206521</v>
      </c>
      <c r="N7" s="17" t="n">
        <v>3049823</v>
      </c>
    </row>
    <row r="8">
      <c r="B8" s="4" t="inlineStr">
        <is>
          <t>売上債権</t>
        </is>
      </c>
      <c r="C8" s="16" t="n">
        <v>1365000</v>
      </c>
      <c r="D8" s="16" t="n">
        <v>1455000</v>
      </c>
      <c r="E8" s="16" t="n">
        <v>1540000</v>
      </c>
      <c r="F8" s="16" t="n">
        <v>1650000</v>
      </c>
      <c r="G8" s="16" t="n">
        <v>1750000</v>
      </c>
      <c r="H8" s="17" t="n">
        <v>1836000</v>
      </c>
      <c r="I8" s="17" t="n">
        <v>1905000</v>
      </c>
      <c r="J8" s="17" t="n">
        <v>1973000</v>
      </c>
      <c r="K8" s="17" t="n">
        <v>2043000</v>
      </c>
      <c r="L8" s="17" t="n">
        <v>2114000</v>
      </c>
      <c r="M8" s="17" t="n">
        <v>2186000</v>
      </c>
      <c r="N8" s="17" t="n">
        <v>2259000</v>
      </c>
    </row>
    <row r="9">
      <c r="B9" s="4" t="inlineStr">
        <is>
          <t>その他流動資産</t>
        </is>
      </c>
      <c r="C9" s="16" t="n">
        <v>160000</v>
      </c>
      <c r="D9" s="16" t="n">
        <v>170000</v>
      </c>
      <c r="E9" s="16" t="n">
        <v>180000</v>
      </c>
      <c r="F9" s="16" t="n">
        <v>190000</v>
      </c>
      <c r="G9" s="16" t="n">
        <v>200000</v>
      </c>
      <c r="H9" s="17" t="n">
        <v>210000</v>
      </c>
      <c r="I9" s="17" t="n">
        <v>215000</v>
      </c>
      <c r="J9" s="17" t="n">
        <v>220000</v>
      </c>
      <c r="K9" s="17" t="n">
        <v>225000</v>
      </c>
      <c r="L9" s="17" t="n">
        <v>230000</v>
      </c>
      <c r="M9" s="17" t="n">
        <v>235000</v>
      </c>
      <c r="N9" s="17" t="n">
        <v>240000</v>
      </c>
    </row>
    <row r="10">
      <c r="B10" s="4" t="inlineStr">
        <is>
          <t>流動資産 合計</t>
        </is>
      </c>
      <c r="C10" s="16">
        <f>SUM(C7:C9)</f>
        <v/>
      </c>
      <c r="D10" s="16">
        <f>SUM(D7:D9)</f>
        <v/>
      </c>
      <c r="E10" s="16">
        <f>SUM(E7:E9)</f>
        <v/>
      </c>
      <c r="F10" s="16">
        <f>SUM(F7:F9)</f>
        <v/>
      </c>
      <c r="G10" s="16">
        <f>SUM(G7:G9)</f>
        <v/>
      </c>
      <c r="H10" s="17">
        <f>SUM(H7:H9)</f>
        <v/>
      </c>
      <c r="I10" s="17">
        <f>SUM(I7:I9)</f>
        <v/>
      </c>
      <c r="J10" s="17">
        <f>SUM(J7:J9)</f>
        <v/>
      </c>
      <c r="K10" s="17">
        <f>SUM(K7:K9)</f>
        <v/>
      </c>
      <c r="L10" s="17">
        <f>SUM(L7:L9)</f>
        <v/>
      </c>
      <c r="M10" s="17">
        <f>SUM(M7:M9)</f>
        <v/>
      </c>
      <c r="N10" s="17">
        <f>SUM(N7:N9)</f>
        <v/>
      </c>
    </row>
    <row r="12">
      <c r="B12" s="4" t="inlineStr">
        <is>
          <t>有形固定資産</t>
        </is>
      </c>
      <c r="C12" s="16" t="n">
        <v>780000</v>
      </c>
      <c r="D12" s="16" t="n">
        <v>800000</v>
      </c>
      <c r="E12" s="16" t="n">
        <v>820000</v>
      </c>
      <c r="F12" s="16" t="n">
        <v>840000</v>
      </c>
      <c r="G12" s="16" t="n">
        <v>860000</v>
      </c>
      <c r="H12" s="17" t="n">
        <v>866300</v>
      </c>
      <c r="I12" s="17" t="n">
        <v>870600</v>
      </c>
      <c r="J12" s="17" t="n">
        <v>872900</v>
      </c>
      <c r="K12" s="17" t="n">
        <v>873200</v>
      </c>
      <c r="L12" s="17" t="n">
        <v>871500</v>
      </c>
      <c r="M12" s="17" t="n">
        <v>867800</v>
      </c>
      <c r="N12" s="17" t="n">
        <v>862100</v>
      </c>
    </row>
    <row r="13">
      <c r="B13" s="4" t="inlineStr">
        <is>
          <t>のれん（Goodwill）</t>
        </is>
      </c>
      <c r="C13" s="16" t="n">
        <v>0</v>
      </c>
      <c r="D13" s="16" t="n">
        <v>0</v>
      </c>
      <c r="E13" s="16" t="n">
        <v>0</v>
      </c>
      <c r="F13" s="16" t="n">
        <v>0</v>
      </c>
      <c r="G13" s="16" t="n">
        <v>0</v>
      </c>
      <c r="H13" s="17" t="n">
        <v>5500000</v>
      </c>
      <c r="I13" s="17" t="n">
        <v>5500000</v>
      </c>
      <c r="J13" s="17" t="n">
        <v>5500000</v>
      </c>
      <c r="K13" s="17" t="n">
        <v>5500000</v>
      </c>
      <c r="L13" s="17" t="n">
        <v>5500000</v>
      </c>
      <c r="M13" s="17" t="n">
        <v>5500000</v>
      </c>
      <c r="N13" s="17" t="n">
        <v>5500000</v>
      </c>
    </row>
    <row r="14">
      <c r="B14" s="4" t="inlineStr">
        <is>
          <t>無形固定資産・その他</t>
        </is>
      </c>
      <c r="C14" s="16" t="n">
        <v>240000</v>
      </c>
      <c r="D14" s="16" t="n">
        <v>250000</v>
      </c>
      <c r="E14" s="16" t="n">
        <v>260000</v>
      </c>
      <c r="F14" s="16" t="n">
        <v>270000</v>
      </c>
      <c r="G14" s="16" t="n">
        <v>280000</v>
      </c>
      <c r="H14" s="17" t="n">
        <v>290000</v>
      </c>
      <c r="I14" s="17" t="n">
        <v>290000</v>
      </c>
      <c r="J14" s="17" t="n">
        <v>290000</v>
      </c>
      <c r="K14" s="17" t="n">
        <v>290000</v>
      </c>
      <c r="L14" s="17" t="n">
        <v>290000</v>
      </c>
      <c r="M14" s="17" t="n">
        <v>290000</v>
      </c>
      <c r="N14" s="17" t="n">
        <v>290000</v>
      </c>
    </row>
    <row r="15">
      <c r="B15" s="4" t="inlineStr">
        <is>
          <t>固定資産 合計</t>
        </is>
      </c>
      <c r="C15" s="16">
        <f>SUM(C12:C14)</f>
        <v/>
      </c>
      <c r="D15" s="16">
        <f>SUM(D12:D14)</f>
        <v/>
      </c>
      <c r="E15" s="16">
        <f>SUM(E12:E14)</f>
        <v/>
      </c>
      <c r="F15" s="16">
        <f>SUM(F12:F14)</f>
        <v/>
      </c>
      <c r="G15" s="16">
        <f>SUM(G12:G14)</f>
        <v/>
      </c>
      <c r="H15" s="17">
        <f>SUM(H12:H14)</f>
        <v/>
      </c>
      <c r="I15" s="17">
        <f>SUM(I12:I14)</f>
        <v/>
      </c>
      <c r="J15" s="17">
        <f>SUM(J12:J14)</f>
        <v/>
      </c>
      <c r="K15" s="17">
        <f>SUM(K12:K14)</f>
        <v/>
      </c>
      <c r="L15" s="17">
        <f>SUM(L12:L14)</f>
        <v/>
      </c>
      <c r="M15" s="17">
        <f>SUM(M12:M14)</f>
        <v/>
      </c>
      <c r="N15" s="17">
        <f>SUM(N12:N14)</f>
        <v/>
      </c>
    </row>
    <row r="16">
      <c r="B16" s="7" t="inlineStr">
        <is>
          <t>資産合計</t>
        </is>
      </c>
      <c r="C16" s="16">
        <f>C10+C15</f>
        <v/>
      </c>
      <c r="D16" s="16">
        <f>D10+D15</f>
        <v/>
      </c>
      <c r="E16" s="16">
        <f>E10+E15</f>
        <v/>
      </c>
      <c r="F16" s="16">
        <f>F10+F15</f>
        <v/>
      </c>
      <c r="G16" s="16">
        <f>G10+G15</f>
        <v/>
      </c>
      <c r="H16" s="17">
        <f>H10+H15</f>
        <v/>
      </c>
      <c r="I16" s="17">
        <f>I10+I15</f>
        <v/>
      </c>
      <c r="J16" s="17">
        <f>J10+J15</f>
        <v/>
      </c>
      <c r="K16" s="17">
        <f>K10+K15</f>
        <v/>
      </c>
      <c r="L16" s="17">
        <f>L10+L15</f>
        <v/>
      </c>
      <c r="M16" s="17">
        <f>M10+M15</f>
        <v/>
      </c>
      <c r="N16" s="17">
        <f>N10+N15</f>
        <v/>
      </c>
    </row>
    <row r="18">
      <c r="B18" s="4" t="inlineStr">
        <is>
          <t>仕入債務・未払費用</t>
        </is>
      </c>
      <c r="C18" s="16" t="n">
        <v>980000</v>
      </c>
      <c r="D18" s="16" t="n">
        <v>1030000</v>
      </c>
      <c r="E18" s="16" t="n">
        <v>1080000</v>
      </c>
      <c r="F18" s="16" t="n">
        <v>1130000</v>
      </c>
      <c r="G18" s="16" t="n">
        <v>1180000</v>
      </c>
      <c r="H18" s="17" t="n">
        <v>1240000</v>
      </c>
      <c r="I18" s="17" t="n">
        <v>1265000</v>
      </c>
      <c r="J18" s="17" t="n">
        <v>1290000</v>
      </c>
      <c r="K18" s="17" t="n">
        <v>1315000</v>
      </c>
      <c r="L18" s="17" t="n">
        <v>1340000</v>
      </c>
      <c r="M18" s="17" t="n">
        <v>1365000</v>
      </c>
      <c r="N18" s="17" t="n">
        <v>1390000</v>
      </c>
    </row>
    <row r="19">
      <c r="B19" s="4" t="inlineStr">
        <is>
          <t>その他負債</t>
        </is>
      </c>
      <c r="C19" s="16" t="n">
        <v>1270000</v>
      </c>
      <c r="D19" s="16" t="n">
        <v>1030000</v>
      </c>
      <c r="E19" s="16" t="n">
        <v>790000</v>
      </c>
      <c r="F19" s="16" t="n">
        <v>550000</v>
      </c>
      <c r="G19" s="16" t="n">
        <v>310000</v>
      </c>
      <c r="H19" s="17" t="n">
        <v>320000</v>
      </c>
      <c r="I19" s="17" t="n">
        <v>320000</v>
      </c>
      <c r="J19" s="17" t="n">
        <v>320000</v>
      </c>
      <c r="K19" s="17" t="n">
        <v>320000</v>
      </c>
      <c r="L19" s="17" t="n">
        <v>320000</v>
      </c>
      <c r="M19" s="17" t="n">
        <v>320000</v>
      </c>
      <c r="N19" s="17" t="n">
        <v>320000</v>
      </c>
    </row>
    <row r="20">
      <c r="B20" s="4" t="inlineStr">
        <is>
          <t>有利子負債</t>
        </is>
      </c>
      <c r="C20" s="16" t="n">
        <v>500000</v>
      </c>
      <c r="D20" s="16" t="n">
        <v>450000</v>
      </c>
      <c r="E20" s="16" t="n">
        <v>400000</v>
      </c>
      <c r="F20" s="16" t="n">
        <v>350000</v>
      </c>
      <c r="G20" s="16" t="n">
        <v>300000</v>
      </c>
      <c r="H20" s="17">
        <f>Debt_Schedule!H9</f>
        <v/>
      </c>
      <c r="I20" s="17">
        <f>Debt_Schedule!I9</f>
        <v/>
      </c>
      <c r="J20" s="17">
        <f>Debt_Schedule!J9</f>
        <v/>
      </c>
      <c r="K20" s="17">
        <f>Debt_Schedule!K9</f>
        <v/>
      </c>
      <c r="L20" s="17">
        <f>Debt_Schedule!L9</f>
        <v/>
      </c>
      <c r="M20" s="17">
        <f>Debt_Schedule!M9</f>
        <v/>
      </c>
      <c r="N20" s="17">
        <f>Debt_Schedule!N9</f>
        <v/>
      </c>
    </row>
    <row r="21">
      <c r="B21" s="4" t="inlineStr">
        <is>
          <t>負債合計</t>
        </is>
      </c>
      <c r="C21" s="16">
        <f>SUM(C18:C20)</f>
        <v/>
      </c>
      <c r="D21" s="16">
        <f>SUM(D18:D20)</f>
        <v/>
      </c>
      <c r="E21" s="16">
        <f>SUM(E18:E20)</f>
        <v/>
      </c>
      <c r="F21" s="16">
        <f>SUM(F18:F20)</f>
        <v/>
      </c>
      <c r="G21" s="16">
        <f>SUM(G18:G20)</f>
        <v/>
      </c>
      <c r="H21" s="17">
        <f>SUM(H18:H20)</f>
        <v/>
      </c>
      <c r="I21" s="17">
        <f>SUM(I18:I20)</f>
        <v/>
      </c>
      <c r="J21" s="17">
        <f>SUM(J18:J20)</f>
        <v/>
      </c>
      <c r="K21" s="17">
        <f>SUM(K18:K20)</f>
        <v/>
      </c>
      <c r="L21" s="17">
        <f>SUM(L18:L20)</f>
        <v/>
      </c>
      <c r="M21" s="17">
        <f>SUM(M18:M20)</f>
        <v/>
      </c>
      <c r="N21" s="17">
        <f>SUM(N18:N20)</f>
        <v/>
      </c>
    </row>
    <row r="23">
      <c r="B23" s="7" t="inlineStr">
        <is>
          <t>純資産（Net Assets）</t>
        </is>
      </c>
      <c r="C23" s="16" t="n">
        <v>945000</v>
      </c>
      <c r="D23" s="16" t="n">
        <v>1465000</v>
      </c>
      <c r="E23" s="16" t="n">
        <v>1950000</v>
      </c>
      <c r="F23" s="16" t="n">
        <v>2560000</v>
      </c>
      <c r="G23" s="16" t="n">
        <v>3150000</v>
      </c>
      <c r="H23" s="17" t="n">
        <v>2749450</v>
      </c>
      <c r="I23" s="17" t="n">
        <v>3856569</v>
      </c>
      <c r="J23" s="17" t="n">
        <v>5030918</v>
      </c>
      <c r="K23" s="17" t="n">
        <v>6279207</v>
      </c>
      <c r="L23" s="17" t="n">
        <v>7601956</v>
      </c>
      <c r="M23" s="17" t="n">
        <v>9000321</v>
      </c>
      <c r="N23" s="17" t="n">
        <v>10490923</v>
      </c>
    </row>
    <row r="24">
      <c r="B24" s="7" t="inlineStr">
        <is>
          <t>負債純資産合計</t>
        </is>
      </c>
      <c r="C24" s="16">
        <f>C21+C23</f>
        <v/>
      </c>
      <c r="D24" s="16">
        <f>D21+D23</f>
        <v/>
      </c>
      <c r="E24" s="16">
        <f>E21+E23</f>
        <v/>
      </c>
      <c r="F24" s="16">
        <f>F21+F23</f>
        <v/>
      </c>
      <c r="G24" s="16">
        <f>G21+G23</f>
        <v/>
      </c>
      <c r="H24" s="17">
        <f>H21+H23</f>
        <v/>
      </c>
      <c r="I24" s="17">
        <f>I21+I23</f>
        <v/>
      </c>
      <c r="J24" s="17">
        <f>J21+J23</f>
        <v/>
      </c>
      <c r="K24" s="17">
        <f>K21+K23</f>
        <v/>
      </c>
      <c r="L24" s="17">
        <f>L21+L23</f>
        <v/>
      </c>
      <c r="M24" s="17">
        <f>M21+M23</f>
        <v/>
      </c>
      <c r="N24" s="17">
        <f>N21+N23</f>
        <v/>
      </c>
    </row>
    <row r="26">
      <c r="B26" s="5" t="inlineStr">
        <is>
          <t>※ FY27以降は買収後連結（のれん計上・買収時調整を純資産に含む）。のれんは暫定PPA前の想定額。</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2E6DA4"/>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キャッシュフロー計算書（Projected C/F・千円）</t>
        </is>
      </c>
    </row>
    <row r="2">
      <c r="E2" s="7" t="inlineStr">
        <is>
          <t>ケース: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税引後当期純利益</t>
        </is>
      </c>
      <c r="C7" s="16">
        <f>PL!C32</f>
        <v/>
      </c>
      <c r="D7" s="16">
        <f>PL!D32</f>
        <v/>
      </c>
      <c r="E7" s="16">
        <f>PL!E32</f>
        <v/>
      </c>
      <c r="F7" s="16">
        <f>PL!F32</f>
        <v/>
      </c>
      <c r="G7" s="16">
        <f>PL!G32</f>
        <v/>
      </c>
      <c r="H7" s="17">
        <f>PL!H32</f>
        <v/>
      </c>
      <c r="I7" s="17">
        <f>PL!I32</f>
        <v/>
      </c>
      <c r="J7" s="17">
        <f>PL!J32</f>
        <v/>
      </c>
      <c r="K7" s="17">
        <f>PL!K32</f>
        <v/>
      </c>
      <c r="L7" s="17">
        <f>PL!L32</f>
        <v/>
      </c>
      <c r="M7" s="17">
        <f>PL!M32</f>
        <v/>
      </c>
      <c r="N7" s="17">
        <f>PL!N32</f>
        <v/>
      </c>
    </row>
    <row r="8">
      <c r="B8" s="4" t="inlineStr">
        <is>
          <t>減価償却費</t>
        </is>
      </c>
      <c r="C8" s="16">
        <f>PL!C24</f>
        <v/>
      </c>
      <c r="D8" s="16">
        <f>PL!D24</f>
        <v/>
      </c>
      <c r="E8" s="16">
        <f>PL!E24</f>
        <v/>
      </c>
      <c r="F8" s="16">
        <f>PL!F24</f>
        <v/>
      </c>
      <c r="G8" s="16">
        <f>PL!G24</f>
        <v/>
      </c>
      <c r="H8" s="17">
        <f>PL!H24</f>
        <v/>
      </c>
      <c r="I8" s="17">
        <f>PL!I24</f>
        <v/>
      </c>
      <c r="J8" s="17">
        <f>PL!J24</f>
        <v/>
      </c>
      <c r="K8" s="17">
        <f>PL!K24</f>
        <v/>
      </c>
      <c r="L8" s="17">
        <f>PL!L24</f>
        <v/>
      </c>
      <c r="M8" s="17">
        <f>PL!M24</f>
        <v/>
      </c>
      <c r="N8" s="17">
        <f>PL!N24</f>
        <v/>
      </c>
    </row>
    <row r="9">
      <c r="B9" s="4" t="inlineStr">
        <is>
          <t>運転資本増減・その他（△増加）</t>
        </is>
      </c>
      <c r="C9" s="16" t="n">
        <v>186543</v>
      </c>
      <c r="D9" s="16" t="n">
        <v>191694</v>
      </c>
      <c r="E9" s="16" t="n">
        <v>216432</v>
      </c>
      <c r="F9" s="16" t="n">
        <v>239589</v>
      </c>
      <c r="G9" s="16" t="n">
        <v>274122</v>
      </c>
      <c r="H9" s="17" t="n">
        <v>-36000</v>
      </c>
      <c r="I9" s="17" t="n">
        <v>-49000</v>
      </c>
      <c r="J9" s="17" t="n">
        <v>-48000</v>
      </c>
      <c r="K9" s="17" t="n">
        <v>-50000</v>
      </c>
      <c r="L9" s="17" t="n">
        <v>-51000</v>
      </c>
      <c r="M9" s="17" t="n">
        <v>-52000</v>
      </c>
      <c r="N9" s="17" t="n">
        <v>-53000</v>
      </c>
    </row>
    <row r="10">
      <c r="B10" s="4" t="inlineStr">
        <is>
          <t>営業キャッシュフロー</t>
        </is>
      </c>
      <c r="C10" s="16">
        <f>SUM(C7:C9)</f>
        <v/>
      </c>
      <c r="D10" s="16">
        <f>SUM(D7:D9)</f>
        <v/>
      </c>
      <c r="E10" s="16">
        <f>SUM(E7:E9)</f>
        <v/>
      </c>
      <c r="F10" s="16">
        <f>SUM(F7:F9)</f>
        <v/>
      </c>
      <c r="G10" s="16">
        <f>SUM(G7:G9)</f>
        <v/>
      </c>
      <c r="H10" s="17">
        <f>SUM(H7:H9)</f>
        <v/>
      </c>
      <c r="I10" s="17">
        <f>SUM(I7:I9)</f>
        <v/>
      </c>
      <c r="J10" s="17">
        <f>SUM(J7:J9)</f>
        <v/>
      </c>
      <c r="K10" s="17">
        <f>SUM(K7:K9)</f>
        <v/>
      </c>
      <c r="L10" s="17">
        <f>SUM(L7:L9)</f>
        <v/>
      </c>
      <c r="M10" s="17">
        <f>SUM(M7:M9)</f>
        <v/>
      </c>
      <c r="N10" s="17">
        <f>SUM(N7:N9)</f>
        <v/>
      </c>
    </row>
    <row r="12">
      <c r="B12" s="4" t="inlineStr">
        <is>
          <t>設備投資等（投資CF）</t>
        </is>
      </c>
      <c r="C12" s="16" t="n">
        <v>-90000</v>
      </c>
      <c r="D12" s="16" t="n">
        <v>-95000</v>
      </c>
      <c r="E12" s="16" t="n">
        <v>-100000</v>
      </c>
      <c r="F12" s="16" t="n">
        <v>-110000</v>
      </c>
      <c r="G12" s="16" t="n">
        <v>-115000</v>
      </c>
      <c r="H12" s="17" t="n">
        <v>-120000</v>
      </c>
      <c r="I12" s="17" t="n">
        <v>-120000</v>
      </c>
      <c r="J12" s="17" t="n">
        <v>-120000</v>
      </c>
      <c r="K12" s="17" t="n">
        <v>-120000</v>
      </c>
      <c r="L12" s="17" t="n">
        <v>-120000</v>
      </c>
      <c r="M12" s="17" t="n">
        <v>-120000</v>
      </c>
      <c r="N12" s="17" t="n">
        <v>-120000</v>
      </c>
    </row>
    <row r="13">
      <c r="B13" s="4" t="inlineStr">
        <is>
          <t>フリー・キャッシュフロー（FCF）</t>
        </is>
      </c>
      <c r="C13" s="16">
        <f>C10+C12</f>
        <v/>
      </c>
      <c r="D13" s="16">
        <f>D10+D12</f>
        <v/>
      </c>
      <c r="E13" s="16">
        <f>E10+E12</f>
        <v/>
      </c>
      <c r="F13" s="16">
        <f>F10+F12</f>
        <v/>
      </c>
      <c r="G13" s="16">
        <f>G10+G12</f>
        <v/>
      </c>
      <c r="H13" s="17">
        <f>H10+H12</f>
        <v/>
      </c>
      <c r="I13" s="17">
        <f>I10+I12</f>
        <v/>
      </c>
      <c r="J13" s="17">
        <f>J10+J12</f>
        <v/>
      </c>
      <c r="K13" s="17">
        <f>K10+K12</f>
        <v/>
      </c>
      <c r="L13" s="17">
        <f>L10+L12</f>
        <v/>
      </c>
      <c r="M13" s="17">
        <f>M10+M12</f>
        <v/>
      </c>
      <c r="N13" s="17">
        <f>N10+N12</f>
        <v/>
      </c>
    </row>
    <row r="15">
      <c r="B15" s="4" t="inlineStr">
        <is>
          <t>借入金返済</t>
        </is>
      </c>
      <c r="C15" s="16" t="n">
        <v>-50000</v>
      </c>
      <c r="D15" s="16" t="n">
        <v>-50000</v>
      </c>
      <c r="E15" s="16" t="n">
        <v>-50000</v>
      </c>
      <c r="F15" s="16" t="n">
        <v>-50000</v>
      </c>
      <c r="G15" s="16" t="n">
        <v>-50000</v>
      </c>
      <c r="H15" s="17">
        <f>-Debt_Schedule!H8</f>
        <v/>
      </c>
      <c r="I15" s="17">
        <f>-Debt_Schedule!I8</f>
        <v/>
      </c>
      <c r="J15" s="17">
        <f>-Debt_Schedule!J8</f>
        <v/>
      </c>
      <c r="K15" s="17">
        <f>-Debt_Schedule!K8</f>
        <v/>
      </c>
      <c r="L15" s="17">
        <f>-Debt_Schedule!L8</f>
        <v/>
      </c>
      <c r="M15" s="17">
        <f>-Debt_Schedule!M8</f>
        <v/>
      </c>
      <c r="N15" s="17">
        <f>-Debt_Schedule!N8</f>
        <v/>
      </c>
    </row>
    <row r="16">
      <c r="B16" s="4" t="inlineStr">
        <is>
          <t>配当・その他財務</t>
        </is>
      </c>
      <c r="C16" s="16" t="n">
        <v>-710000</v>
      </c>
      <c r="D16" s="16" t="n">
        <v>-770000</v>
      </c>
      <c r="E16" s="16" t="n">
        <v>-880000</v>
      </c>
      <c r="F16" s="16" t="n">
        <v>-910000</v>
      </c>
      <c r="G16" s="16" t="n">
        <v>-1045000</v>
      </c>
      <c r="H16" s="17" t="n">
        <v>10000</v>
      </c>
      <c r="I16" s="17" t="n">
        <v>0</v>
      </c>
      <c r="J16" s="17" t="n">
        <v>0</v>
      </c>
      <c r="K16" s="17" t="n">
        <v>0</v>
      </c>
      <c r="L16" s="17" t="n">
        <v>0</v>
      </c>
      <c r="M16" s="17" t="n">
        <v>0</v>
      </c>
      <c r="N16" s="17" t="n">
        <v>0</v>
      </c>
    </row>
    <row r="17">
      <c r="B17" s="4" t="inlineStr">
        <is>
          <t>財務キャッシュフロー</t>
        </is>
      </c>
      <c r="C17" s="16">
        <f>C15+C16</f>
        <v/>
      </c>
      <c r="D17" s="16">
        <f>D15+D16</f>
        <v/>
      </c>
      <c r="E17" s="16">
        <f>E15+E16</f>
        <v/>
      </c>
      <c r="F17" s="16">
        <f>F15+F16</f>
        <v/>
      </c>
      <c r="G17" s="16">
        <f>G15+G16</f>
        <v/>
      </c>
      <c r="H17" s="17">
        <f>H15+H16</f>
        <v/>
      </c>
      <c r="I17" s="17">
        <f>I15+I16</f>
        <v/>
      </c>
      <c r="J17" s="17">
        <f>J15+J16</f>
        <v/>
      </c>
      <c r="K17" s="17">
        <f>K15+K16</f>
        <v/>
      </c>
      <c r="L17" s="17">
        <f>L15+L16</f>
        <v/>
      </c>
      <c r="M17" s="17">
        <f>M15+M16</f>
        <v/>
      </c>
      <c r="N17" s="17">
        <f>N15+N16</f>
        <v/>
      </c>
    </row>
    <row r="19">
      <c r="B19" s="4" t="inlineStr">
        <is>
          <t>現金増減</t>
        </is>
      </c>
      <c r="C19" s="16">
        <f>C13+C17</f>
        <v/>
      </c>
      <c r="D19" s="16">
        <f>D13+D17</f>
        <v/>
      </c>
      <c r="E19" s="16">
        <f>E13+E17</f>
        <v/>
      </c>
      <c r="F19" s="16">
        <f>F13+F17</f>
        <v/>
      </c>
      <c r="G19" s="16">
        <f>G13+G17</f>
        <v/>
      </c>
      <c r="H19" s="17">
        <f>H13+H17</f>
        <v/>
      </c>
      <c r="I19" s="17">
        <f>I13+I17</f>
        <v/>
      </c>
      <c r="J19" s="17">
        <f>J13+J17</f>
        <v/>
      </c>
      <c r="K19" s="17">
        <f>K13+K17</f>
        <v/>
      </c>
      <c r="L19" s="17">
        <f>L13+L17</f>
        <v/>
      </c>
      <c r="M19" s="17">
        <f>M13+M17</f>
        <v/>
      </c>
      <c r="N19" s="17">
        <f>N13+N17</f>
        <v/>
      </c>
    </row>
    <row r="20">
      <c r="B20" s="4" t="inlineStr">
        <is>
          <t>期首現金</t>
        </is>
      </c>
      <c r="C20" s="16" t="n">
        <v>1020000</v>
      </c>
      <c r="D20" s="16">
        <f>C21</f>
        <v/>
      </c>
      <c r="E20" s="16">
        <f>D21</f>
        <v/>
      </c>
      <c r="F20" s="16">
        <f>E21</f>
        <v/>
      </c>
      <c r="G20" s="16">
        <f>F21</f>
        <v/>
      </c>
      <c r="H20" s="17" t="n">
        <v>1100000</v>
      </c>
      <c r="I20" s="17">
        <f>H21</f>
        <v/>
      </c>
      <c r="J20" s="17">
        <f>I21</f>
        <v/>
      </c>
      <c r="K20" s="17">
        <f>J21</f>
        <v/>
      </c>
      <c r="L20" s="17">
        <f>K21</f>
        <v/>
      </c>
      <c r="M20" s="17">
        <f>L21</f>
        <v/>
      </c>
      <c r="N20" s="17">
        <f>M21</f>
        <v/>
      </c>
    </row>
    <row r="21">
      <c r="B21" s="4" t="inlineStr">
        <is>
          <t>期末現金</t>
        </is>
      </c>
      <c r="C21" s="16">
        <f>C19+C20</f>
        <v/>
      </c>
      <c r="D21" s="16">
        <f>D19+D20</f>
        <v/>
      </c>
      <c r="E21" s="16">
        <f>E19+E20</f>
        <v/>
      </c>
      <c r="F21" s="16">
        <f>F19+F20</f>
        <v/>
      </c>
      <c r="G21" s="16">
        <f>G19+G20</f>
        <v/>
      </c>
      <c r="H21" s="17">
        <f>H19+H20</f>
        <v/>
      </c>
      <c r="I21" s="17">
        <f>I19+I20</f>
        <v/>
      </c>
      <c r="J21" s="17">
        <f>J19+J20</f>
        <v/>
      </c>
      <c r="K21" s="17">
        <f>K19+K20</f>
        <v/>
      </c>
      <c r="L21" s="17">
        <f>L19+L20</f>
        <v/>
      </c>
      <c r="M21" s="17">
        <f>M19+M20</f>
        <v/>
      </c>
      <c r="N21" s="17">
        <f>N19+N20</f>
        <v/>
      </c>
    </row>
    <row r="24">
      <c r="B24" s="5" t="inlineStr">
        <is>
          <t>※ FY27期首現金は買収時調整後（取引費用等750,000千円控除後）。</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3D8B72"/>
    <outlinePr summaryBelow="1" summaryRight="1"/>
    <pageSetUpPr fitToPage="1"/>
  </sheetPr>
  <dimension ref="A1:N1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KPIドライバー（Operating Assumptions）</t>
        </is>
      </c>
    </row>
    <row r="2">
      <c r="A2" s="5" t="inlineStr">
        <is>
          <t>（単位：名・時間・円・％）</t>
        </is>
      </c>
      <c r="E2" s="7" t="inlineStr">
        <is>
          <t>ケース: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在籍登録スタッフ数（名）</t>
        </is>
      </c>
      <c r="C7" s="16" t="n">
        <v>3350</v>
      </c>
      <c r="D7" s="16" t="n">
        <v>3460</v>
      </c>
      <c r="E7" s="16" t="n">
        <v>3560</v>
      </c>
      <c r="F7" s="16" t="n">
        <v>3690</v>
      </c>
      <c r="G7" s="16" t="n">
        <v>3800</v>
      </c>
      <c r="H7" s="17" t="n">
        <v>3950</v>
      </c>
      <c r="I7" s="17" t="n">
        <v>4060</v>
      </c>
      <c r="J7" s="17" t="n">
        <v>4165</v>
      </c>
      <c r="K7" s="17" t="n">
        <v>4270</v>
      </c>
      <c r="L7" s="17" t="n">
        <v>4375</v>
      </c>
      <c r="M7" s="17" t="n">
        <v>4480</v>
      </c>
      <c r="N7" s="17" t="n">
        <v>4585</v>
      </c>
    </row>
    <row r="8">
      <c r="B8" s="4" t="inlineStr">
        <is>
          <t>稼働率（Utilization）</t>
        </is>
      </c>
      <c r="C8" s="10" t="n">
        <v>0.85</v>
      </c>
      <c r="D8" s="10" t="n">
        <v>0.858</v>
      </c>
      <c r="E8" s="10" t="n">
        <v>0.865</v>
      </c>
      <c r="F8" s="10" t="n">
        <v>0.872</v>
      </c>
      <c r="G8" s="10" t="n">
        <v>0.88</v>
      </c>
      <c r="H8" s="11" t="n">
        <v>0.88</v>
      </c>
      <c r="I8" s="11" t="n">
        <v>0.88</v>
      </c>
      <c r="J8" s="11" t="n">
        <v>0.88</v>
      </c>
      <c r="K8" s="11" t="n">
        <v>0.88</v>
      </c>
      <c r="L8" s="11" t="n">
        <v>0.88</v>
      </c>
      <c r="M8" s="11" t="n">
        <v>0.88</v>
      </c>
      <c r="N8" s="11" t="n">
        <v>0.88</v>
      </c>
    </row>
    <row r="9">
      <c r="B9" s="4" t="inlineStr">
        <is>
          <t>稼働人数（名）</t>
        </is>
      </c>
      <c r="C9" s="16">
        <f>ROUND(C7*C8,0)</f>
        <v/>
      </c>
      <c r="D9" s="16">
        <f>ROUND(D7*D8,0)</f>
        <v/>
      </c>
      <c r="E9" s="16">
        <f>ROUND(E7*E8,0)</f>
        <v/>
      </c>
      <c r="F9" s="16">
        <f>ROUND(F7*F8,0)</f>
        <v/>
      </c>
      <c r="G9" s="16">
        <f>ROUND(G7*G8,0)</f>
        <v/>
      </c>
      <c r="H9" s="17">
        <f>ROUND(H7*H8,0)</f>
        <v/>
      </c>
      <c r="I9" s="17">
        <f>ROUND(I7*I8,0)</f>
        <v/>
      </c>
      <c r="J9" s="17">
        <f>ROUND(J7*J8,0)</f>
        <v/>
      </c>
      <c r="K9" s="17">
        <f>ROUND(K7*K8,0)</f>
        <v/>
      </c>
      <c r="L9" s="17">
        <f>ROUND(L7*L8,0)</f>
        <v/>
      </c>
      <c r="M9" s="17">
        <f>ROUND(M7*M8,0)</f>
        <v/>
      </c>
      <c r="N9" s="17">
        <f>ROUND(N7*N8,0)</f>
        <v/>
      </c>
    </row>
    <row r="10">
      <c r="B10" s="4" t="inlineStr">
        <is>
          <t>月間平均稼働時間（h/名）</t>
        </is>
      </c>
      <c r="C10" s="16" t="n">
        <v>164</v>
      </c>
      <c r="D10" s="16" t="n">
        <v>165</v>
      </c>
      <c r="E10" s="16" t="n">
        <v>165</v>
      </c>
      <c r="F10" s="16" t="n">
        <v>166</v>
      </c>
      <c r="G10" s="16" t="n">
        <v>166</v>
      </c>
      <c r="H10" s="17" t="n">
        <v>166</v>
      </c>
      <c r="I10" s="17" t="n">
        <v>166</v>
      </c>
      <c r="J10" s="17" t="n">
        <v>166</v>
      </c>
      <c r="K10" s="17" t="n">
        <v>166</v>
      </c>
      <c r="L10" s="17" t="n">
        <v>166</v>
      </c>
      <c r="M10" s="17" t="n">
        <v>166</v>
      </c>
      <c r="N10" s="17" t="n">
        <v>166</v>
      </c>
    </row>
    <row r="11">
      <c r="B11" s="4" t="inlineStr">
        <is>
          <t>派遣単価（円/h）</t>
        </is>
      </c>
      <c r="C11" s="16" t="n">
        <v>1950</v>
      </c>
      <c r="D11" s="16" t="n">
        <v>1985</v>
      </c>
      <c r="E11" s="16" t="n">
        <v>2020</v>
      </c>
      <c r="F11" s="16" t="n">
        <v>2060</v>
      </c>
      <c r="G11" s="16" t="n">
        <v>2100</v>
      </c>
      <c r="H11" s="17" t="n">
        <v>2125</v>
      </c>
      <c r="I11" s="17" t="n">
        <v>2146</v>
      </c>
      <c r="J11" s="17" t="n">
        <v>2167</v>
      </c>
      <c r="K11" s="17" t="n">
        <v>2189</v>
      </c>
      <c r="L11" s="17" t="n">
        <v>2211</v>
      </c>
      <c r="M11" s="17" t="n">
        <v>2233</v>
      </c>
      <c r="N11" s="17" t="n">
        <v>2255</v>
      </c>
    </row>
    <row r="12">
      <c r="B12" s="4" t="inlineStr">
        <is>
          <t>スタッフ平均時給（円/h）</t>
        </is>
      </c>
      <c r="C12" s="16" t="n">
        <v>1350</v>
      </c>
      <c r="D12" s="16" t="n">
        <v>1375</v>
      </c>
      <c r="E12" s="16" t="n">
        <v>1400</v>
      </c>
      <c r="F12" s="16" t="n">
        <v>1425</v>
      </c>
      <c r="G12" s="16" t="n">
        <v>1450</v>
      </c>
      <c r="H12" s="17" t="n">
        <v>1465</v>
      </c>
      <c r="I12" s="17" t="n">
        <v>1480</v>
      </c>
      <c r="J12" s="17" t="n">
        <v>1495</v>
      </c>
      <c r="K12" s="17" t="n">
        <v>1510</v>
      </c>
      <c r="L12" s="17" t="n">
        <v>1525</v>
      </c>
      <c r="M12" s="17" t="n">
        <v>1540</v>
      </c>
      <c r="N12" s="17" t="n">
        <v>1555</v>
      </c>
    </row>
    <row r="13">
      <c r="B13" s="4" t="inlineStr">
        <is>
          <t>法定福利費率</t>
        </is>
      </c>
      <c r="C13" s="10" t="n">
        <v>0.14</v>
      </c>
      <c r="D13" s="10" t="n">
        <v>0.14</v>
      </c>
      <c r="E13" s="10" t="n">
        <v>0.14</v>
      </c>
      <c r="F13" s="10" t="n">
        <v>0.14</v>
      </c>
      <c r="G13" s="10" t="n">
        <v>0.14</v>
      </c>
      <c r="H13" s="11" t="n">
        <v>0.14</v>
      </c>
      <c r="I13" s="11" t="n">
        <v>0.14</v>
      </c>
      <c r="J13" s="11" t="n">
        <v>0.14</v>
      </c>
      <c r="K13" s="11" t="n">
        <v>0.14</v>
      </c>
      <c r="L13" s="11" t="n">
        <v>0.14</v>
      </c>
      <c r="M13" s="11" t="n">
        <v>0.14</v>
      </c>
      <c r="N13" s="11" t="n">
        <v>0.14</v>
      </c>
    </row>
    <row r="14">
      <c r="B14" s="4" t="inlineStr">
        <is>
          <t>新規採用人数（名）</t>
        </is>
      </c>
      <c r="C14" s="16" t="n">
        <v>920</v>
      </c>
      <c r="D14" s="16" t="n">
        <v>980</v>
      </c>
      <c r="E14" s="16" t="n">
        <v>1050</v>
      </c>
      <c r="F14" s="16" t="n">
        <v>1120</v>
      </c>
      <c r="G14" s="16" t="n">
        <v>1180</v>
      </c>
      <c r="H14" s="17" t="n">
        <v>1220</v>
      </c>
      <c r="I14" s="17" t="n">
        <v>1240</v>
      </c>
      <c r="J14" s="17" t="n">
        <v>1255</v>
      </c>
      <c r="K14" s="17" t="n">
        <v>1270</v>
      </c>
      <c r="L14" s="17" t="n">
        <v>1285</v>
      </c>
      <c r="M14" s="17" t="n">
        <v>1300</v>
      </c>
      <c r="N14" s="17" t="n">
        <v>1315</v>
      </c>
    </row>
    <row r="15">
      <c r="B15" s="4" t="inlineStr">
        <is>
          <t>採用単価（CPA・千円/名）</t>
        </is>
      </c>
      <c r="C15" s="16" t="n">
        <v>205</v>
      </c>
      <c r="D15" s="16" t="n">
        <v>215</v>
      </c>
      <c r="E15" s="16" t="n">
        <v>225</v>
      </c>
      <c r="F15" s="16" t="n">
        <v>238</v>
      </c>
      <c r="G15" s="16" t="n">
        <v>250</v>
      </c>
      <c r="H15" s="17" t="n">
        <v>255</v>
      </c>
      <c r="I15" s="17" t="n">
        <v>260</v>
      </c>
      <c r="J15" s="17" t="n">
        <v>264</v>
      </c>
      <c r="K15" s="17" t="n">
        <v>268</v>
      </c>
      <c r="L15" s="17" t="n">
        <v>272</v>
      </c>
      <c r="M15" s="17" t="n">
        <v>276</v>
      </c>
      <c r="N15" s="17" t="n">
        <v>280</v>
      </c>
    </row>
    <row r="16">
      <c r="B16" s="4" t="inlineStr">
        <is>
          <t>離職率（年間）</t>
        </is>
      </c>
      <c r="C16" s="10" t="n">
        <v>0.25</v>
      </c>
      <c r="D16" s="10" t="n">
        <v>0.245</v>
      </c>
      <c r="E16" s="10" t="n">
        <v>0.24</v>
      </c>
      <c r="F16" s="10" t="n">
        <v>0.23</v>
      </c>
      <c r="G16" s="10" t="n">
        <v>0.22</v>
      </c>
      <c r="H16" s="11" t="n">
        <v>0.22</v>
      </c>
      <c r="I16" s="11" t="n">
        <v>0.215</v>
      </c>
      <c r="J16" s="11" t="n">
        <v>0.21</v>
      </c>
      <c r="K16" s="11" t="n">
        <v>0.21</v>
      </c>
      <c r="L16" s="11" t="n">
        <v>0.205</v>
      </c>
      <c r="M16" s="11" t="n">
        <v>0.205</v>
      </c>
      <c r="N16" s="11" t="n">
        <v>0.2</v>
      </c>
    </row>
    <row r="18">
      <c r="B18" s="5" t="inlineStr">
        <is>
          <t>※ 稼働人数 = 在籍登録スタッフ数 × 稼働率（四捨五入）</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3D8B72"/>
    <outlinePr summaryBelow="1" summaryRight="1"/>
    <pageSetUpPr fitToPage="1"/>
  </sheetPr>
  <dimension ref="A1:N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Debt Schedule (Senior Loan)</t>
        </is>
      </c>
    </row>
    <row r="2">
      <c r="A2" s="5" t="inlineStr">
        <is>
          <t>(Unit: JPY thousands)</t>
        </is>
      </c>
      <c r="E2" s="7" t="inlineStr">
        <is>
          <t>Case: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Beginning Balance</t>
        </is>
      </c>
      <c r="H7" s="17" t="n">
        <v>6500000</v>
      </c>
      <c r="I7" s="17">
        <f>H9</f>
        <v/>
      </c>
      <c r="J7" s="17">
        <f>I9</f>
        <v/>
      </c>
      <c r="K7" s="17">
        <f>J9</f>
        <v/>
      </c>
      <c r="L7" s="17">
        <f>K9</f>
        <v/>
      </c>
      <c r="M7" s="17">
        <f>L9</f>
        <v/>
      </c>
      <c r="N7" s="17">
        <f>M9</f>
        <v/>
      </c>
    </row>
    <row r="8">
      <c r="B8" s="4" t="inlineStr">
        <is>
          <t>Mandatory Amortization</t>
        </is>
      </c>
      <c r="H8" s="17" t="n">
        <v>650000</v>
      </c>
      <c r="I8" s="17" t="n">
        <v>650000</v>
      </c>
      <c r="J8" s="17" t="n">
        <v>650000</v>
      </c>
      <c r="K8" s="17" t="n">
        <v>650000</v>
      </c>
      <c r="L8" s="17" t="n">
        <v>650000</v>
      </c>
      <c r="M8" s="17" t="n">
        <v>650000</v>
      </c>
      <c r="N8" s="17">
        <f>N7</f>
        <v/>
      </c>
    </row>
    <row r="9">
      <c r="B9" s="4" t="inlineStr">
        <is>
          <t>Ending Balance</t>
        </is>
      </c>
      <c r="H9" s="17">
        <f>H7-H8</f>
        <v/>
      </c>
      <c r="I9" s="17">
        <f>I7-I8</f>
        <v/>
      </c>
      <c r="J9" s="17">
        <f>J7-J8</f>
        <v/>
      </c>
      <c r="K9" s="17">
        <f>K7-K8</f>
        <v/>
      </c>
      <c r="L9" s="17">
        <f>L7-L8</f>
        <v/>
      </c>
      <c r="M9" s="17">
        <f>M7-M8</f>
        <v/>
      </c>
      <c r="N9" s="17">
        <f>N7-N8</f>
        <v/>
      </c>
    </row>
    <row r="10">
      <c r="B10" s="4" t="inlineStr">
        <is>
          <t>Average Balance</t>
        </is>
      </c>
      <c r="H10" s="17">
        <f>(H7+H9)/2</f>
        <v/>
      </c>
      <c r="I10" s="17">
        <f>(I7+I9)/2</f>
        <v/>
      </c>
      <c r="J10" s="17">
        <f>(J7+J9)/2</f>
        <v/>
      </c>
      <c r="K10" s="17">
        <f>(K7+K9)/2</f>
        <v/>
      </c>
      <c r="L10" s="17">
        <f>(L7+L9)/2</f>
        <v/>
      </c>
      <c r="M10" s="17">
        <f>(M7+M9)/2</f>
        <v/>
      </c>
      <c r="N10" s="17">
        <f>(N7+N9)/2</f>
        <v/>
      </c>
    </row>
    <row r="11">
      <c r="B11" s="4" t="inlineStr">
        <is>
          <t>Interest Rate (TIBOR+200bp)</t>
        </is>
      </c>
      <c r="H11" s="11" t="n">
        <v>0.022</v>
      </c>
      <c r="I11" s="11" t="n">
        <v>0.022</v>
      </c>
      <c r="J11" s="11" t="n">
        <v>0.022</v>
      </c>
      <c r="K11" s="11" t="n">
        <v>0.022</v>
      </c>
      <c r="L11" s="11" t="n">
        <v>0.022</v>
      </c>
      <c r="M11" s="11" t="n">
        <v>0.022</v>
      </c>
      <c r="N11" s="11" t="n">
        <v>0.022</v>
      </c>
    </row>
    <row r="12">
      <c r="B12" s="4" t="inlineStr">
        <is>
          <t>Interest Expense</t>
        </is>
      </c>
      <c r="H12" s="17">
        <f>ROUND(H10*H11,0)</f>
        <v/>
      </c>
      <c r="I12" s="17">
        <f>ROUND(I10*I11,0)</f>
        <v/>
      </c>
      <c r="J12" s="17">
        <f>ROUND(J10*J11,0)</f>
        <v/>
      </c>
      <c r="K12" s="17">
        <f>ROUND(K10*K11,0)</f>
        <v/>
      </c>
      <c r="L12" s="17">
        <f>ROUND(L10*L11,0)</f>
        <v/>
      </c>
      <c r="M12" s="17">
        <f>ROUND(M10*M11,0)</f>
        <v/>
      </c>
      <c r="N12" s="17">
        <f>ROUND(N10*N11,0)</f>
        <v/>
      </c>
    </row>
    <row r="14">
      <c r="B14" s="5" t="inlineStr">
        <is>
          <t>Note: Annual mandatory amortization of JPY 650,000 thousand; bullet repayment of the remaining balance in FY33.</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8A6FBF"/>
    <outlinePr summaryBelow="1" summaryRight="1"/>
    <pageSetUpPr fitToPage="1"/>
  </sheetPr>
  <dimension ref="A1:O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s>
  <sheetData>
    <row r="1">
      <c r="A1" s="6" t="inlineStr">
        <is>
          <t>月次試算表_FY26（2025年4月～2026年3月）</t>
        </is>
      </c>
    </row>
    <row r="2">
      <c r="A2" s="5" t="inlineStr">
        <is>
          <t>（単位：円）</t>
        </is>
      </c>
    </row>
    <row r="4">
      <c r="C4" s="8" t="inlineStr">
        <is>
          <t>2025/04</t>
        </is>
      </c>
      <c r="D4" s="8" t="inlineStr">
        <is>
          <t>2025/05</t>
        </is>
      </c>
      <c r="E4" s="8" t="inlineStr">
        <is>
          <t>2025/06</t>
        </is>
      </c>
      <c r="F4" s="8" t="inlineStr">
        <is>
          <t>2025/07</t>
        </is>
      </c>
      <c r="G4" s="8" t="inlineStr">
        <is>
          <t>2025/08</t>
        </is>
      </c>
      <c r="H4" s="8" t="inlineStr">
        <is>
          <t>2025/09</t>
        </is>
      </c>
      <c r="I4" s="8" t="inlineStr">
        <is>
          <t>2025/10</t>
        </is>
      </c>
      <c r="J4" s="8" t="inlineStr">
        <is>
          <t>2025/11</t>
        </is>
      </c>
      <c r="K4" s="8" t="inlineStr">
        <is>
          <t>2025/12</t>
        </is>
      </c>
      <c r="L4" s="8" t="inlineStr">
        <is>
          <t>2026/01</t>
        </is>
      </c>
      <c r="M4" s="8" t="inlineStr">
        <is>
          <t>2026/02</t>
        </is>
      </c>
      <c r="N4" s="8" t="inlineStr">
        <is>
          <t>2026/03</t>
        </is>
      </c>
      <c r="O4" s="8" t="inlineStr">
        <is>
          <t>年度計</t>
        </is>
      </c>
    </row>
    <row r="7">
      <c r="B7" s="4" t="inlineStr">
        <is>
          <t>売上高</t>
        </is>
      </c>
      <c r="C7" s="17" t="n">
        <v>1204290000</v>
      </c>
      <c r="D7" s="17" t="n">
        <v>1127522000</v>
      </c>
      <c r="E7" s="17" t="n">
        <v>1195893000</v>
      </c>
      <c r="F7" s="17" t="n">
        <v>1201891000</v>
      </c>
      <c r="G7" s="17" t="n">
        <v>1121525000</v>
      </c>
      <c r="H7" s="17" t="n">
        <v>1194694000</v>
      </c>
      <c r="I7" s="17" t="n">
        <v>1205489000</v>
      </c>
      <c r="J7" s="17" t="n">
        <v>1197093000</v>
      </c>
      <c r="K7" s="17" t="n">
        <v>1203090000</v>
      </c>
      <c r="L7" s="17" t="n">
        <v>1115527000</v>
      </c>
      <c r="M7" s="17" t="n">
        <v>1193494000</v>
      </c>
      <c r="N7" s="17" t="n">
        <v>1199492000</v>
      </c>
      <c r="O7" s="19">
        <f>SUM(C7:N7)</f>
        <v/>
      </c>
    </row>
    <row r="8">
      <c r="B8" s="4" t="inlineStr">
        <is>
          <t>売上原価</t>
        </is>
      </c>
      <c r="C8" s="17" t="n">
        <v>961990000</v>
      </c>
      <c r="D8" s="17" t="n">
        <v>900668000</v>
      </c>
      <c r="E8" s="17" t="n">
        <v>955282000</v>
      </c>
      <c r="F8" s="17" t="n">
        <v>960073000</v>
      </c>
      <c r="G8" s="17" t="n">
        <v>895877000</v>
      </c>
      <c r="H8" s="17" t="n">
        <v>954324000</v>
      </c>
      <c r="I8" s="17" t="n">
        <v>962948000</v>
      </c>
      <c r="J8" s="17" t="n">
        <v>956241000</v>
      </c>
      <c r="K8" s="17" t="n">
        <v>961031000</v>
      </c>
      <c r="L8" s="17" t="n">
        <v>891086000</v>
      </c>
      <c r="M8" s="17" t="n">
        <v>953366000</v>
      </c>
      <c r="N8" s="17" t="n">
        <v>958157000</v>
      </c>
      <c r="O8" s="19">
        <f>SUM(C8:N8)</f>
        <v/>
      </c>
    </row>
    <row r="9">
      <c r="B9" s="4" t="inlineStr">
        <is>
          <t>売上総利益</t>
        </is>
      </c>
      <c r="C9" s="17">
        <f>C7-C8</f>
        <v/>
      </c>
      <c r="D9" s="17">
        <f>D7-D8</f>
        <v/>
      </c>
      <c r="E9" s="17">
        <f>E7-E8</f>
        <v/>
      </c>
      <c r="F9" s="17">
        <f>F7-F8</f>
        <v/>
      </c>
      <c r="G9" s="17">
        <f>G7-G8</f>
        <v/>
      </c>
      <c r="H9" s="17">
        <f>H7-H8</f>
        <v/>
      </c>
      <c r="I9" s="17">
        <f>I7-I8</f>
        <v/>
      </c>
      <c r="J9" s="17">
        <f>J7-J8</f>
        <v/>
      </c>
      <c r="K9" s="17">
        <f>K7-K8</f>
        <v/>
      </c>
      <c r="L9" s="17">
        <f>L7-L8</f>
        <v/>
      </c>
      <c r="M9" s="17">
        <f>M7-M8</f>
        <v/>
      </c>
      <c r="N9" s="17">
        <f>N7-N8</f>
        <v/>
      </c>
      <c r="O9" s="19">
        <f>SUM(C9:N9)</f>
        <v/>
      </c>
    </row>
    <row r="10">
      <c r="B10" s="4" t="inlineStr">
        <is>
          <t>販売費及び一般管理費</t>
        </is>
      </c>
      <c r="C10" s="17" t="n">
        <v>117837000</v>
      </c>
      <c r="D10" s="17" t="n">
        <v>108943000</v>
      </c>
      <c r="E10" s="17" t="n">
        <v>110055000</v>
      </c>
      <c r="F10" s="17" t="n">
        <v>111167000</v>
      </c>
      <c r="G10" s="17" t="n">
        <v>107832000</v>
      </c>
      <c r="H10" s="17" t="n">
        <v>110611000</v>
      </c>
      <c r="I10" s="17" t="n">
        <v>116725000</v>
      </c>
      <c r="J10" s="17" t="n">
        <v>110611000</v>
      </c>
      <c r="K10" s="17" t="n">
        <v>111722000</v>
      </c>
      <c r="L10" s="17" t="n">
        <v>108388000</v>
      </c>
      <c r="M10" s="17" t="n">
        <v>109499000</v>
      </c>
      <c r="N10" s="17" t="n">
        <v>110610000</v>
      </c>
      <c r="O10" s="19">
        <f>SUM(C10:N10)</f>
        <v/>
      </c>
    </row>
    <row r="11">
      <c r="B11" s="4" t="inlineStr">
        <is>
          <t>営業利益</t>
        </is>
      </c>
      <c r="C11" s="17">
        <f>C9-C10</f>
        <v/>
      </c>
      <c r="D11" s="17">
        <f>D9-D10</f>
        <v/>
      </c>
      <c r="E11" s="17">
        <f>E9-E10</f>
        <v/>
      </c>
      <c r="F11" s="17">
        <f>F9-F10</f>
        <v/>
      </c>
      <c r="G11" s="17">
        <f>G9-G10</f>
        <v/>
      </c>
      <c r="H11" s="17">
        <f>H9-H10</f>
        <v/>
      </c>
      <c r="I11" s="17">
        <f>I9-I10</f>
        <v/>
      </c>
      <c r="J11" s="17">
        <f>J9-J10</f>
        <v/>
      </c>
      <c r="K11" s="17">
        <f>K9-K10</f>
        <v/>
      </c>
      <c r="L11" s="17">
        <f>L9-L10</f>
        <v/>
      </c>
      <c r="M11" s="17">
        <f>M9-M10</f>
        <v/>
      </c>
      <c r="N11" s="17">
        <f>N9-N10</f>
        <v/>
      </c>
      <c r="O11" s="19">
        <f>SUM(C11:N11)</f>
        <v/>
      </c>
    </row>
    <row r="13">
      <c r="B13" s="4" t="inlineStr">
        <is>
          <t>現金及び預金</t>
        </is>
      </c>
      <c r="C13" s="17" t="n">
        <v>1658700000</v>
      </c>
      <c r="D13" s="17" t="n">
        <v>1674200000</v>
      </c>
      <c r="E13" s="17" t="n">
        <v>1694500000</v>
      </c>
      <c r="F13" s="17" t="n">
        <v>1708500000</v>
      </c>
      <c r="G13" s="17" t="n">
        <v>1728100000</v>
      </c>
      <c r="H13" s="17" t="n">
        <v>1743200000</v>
      </c>
      <c r="I13" s="17" t="n">
        <v>1763900000</v>
      </c>
      <c r="J13" s="17" t="n">
        <v>1779500000</v>
      </c>
      <c r="K13" s="17" t="n">
        <v>1798400000</v>
      </c>
      <c r="L13" s="17" t="n">
        <v>1813800000</v>
      </c>
      <c r="M13" s="17" t="n">
        <v>1833200000</v>
      </c>
      <c r="N13" s="17" t="n">
        <v>1850000000</v>
      </c>
    </row>
    <row r="14">
      <c r="B14" s="4" t="inlineStr">
        <is>
          <t>売上債権</t>
        </is>
      </c>
      <c r="C14" s="17" t="n">
        <v>1782349000</v>
      </c>
      <c r="D14" s="17" t="n">
        <v>1668733000</v>
      </c>
      <c r="E14" s="17" t="n">
        <v>1769922000</v>
      </c>
      <c r="F14" s="17" t="n">
        <v>1778799000</v>
      </c>
      <c r="G14" s="17" t="n">
        <v>1659857000</v>
      </c>
      <c r="H14" s="17" t="n">
        <v>1768147000</v>
      </c>
      <c r="I14" s="17" t="n">
        <v>1784124000</v>
      </c>
      <c r="J14" s="17" t="n">
        <v>1771698000</v>
      </c>
      <c r="K14" s="17" t="n">
        <v>1780573000</v>
      </c>
      <c r="L14" s="17" t="n">
        <v>1650980000</v>
      </c>
      <c r="M14" s="17" t="n">
        <v>1766371000</v>
      </c>
      <c r="N14" s="17" t="n">
        <v>1750000000</v>
      </c>
    </row>
    <row r="15">
      <c r="B15" s="4" t="inlineStr">
        <is>
          <t>仕入債務・未払費用</t>
        </is>
      </c>
      <c r="C15" s="17" t="n">
        <v>1133687000</v>
      </c>
      <c r="D15" s="17" t="n">
        <v>1138653000</v>
      </c>
      <c r="E15" s="17" t="n">
        <v>1141700000</v>
      </c>
      <c r="F15" s="17" t="n">
        <v>1147267000</v>
      </c>
      <c r="G15" s="17" t="n">
        <v>1150593000</v>
      </c>
      <c r="H15" s="17" t="n">
        <v>1155720000</v>
      </c>
      <c r="I15" s="17" t="n">
        <v>1158607000</v>
      </c>
      <c r="J15" s="17" t="n">
        <v>1163533000</v>
      </c>
      <c r="K15" s="17" t="n">
        <v>1167140000</v>
      </c>
      <c r="L15" s="17" t="n">
        <v>1172147000</v>
      </c>
      <c r="M15" s="17" t="n">
        <v>1175553000</v>
      </c>
      <c r="N15" s="17" t="n">
        <v>1180000000</v>
      </c>
    </row>
    <row r="17">
      <c r="B17" s="5" t="inlineStr">
        <is>
          <t>※ 勤怠・請求データより作成（税理士法人巡回監査済）。</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2026-07-24T02:18:54Z</dcterms:created>
  <dcterms:modified xsi:type="dcterms:W3CDTF">2026-07-24T02:18:54Z</dcterms:modified>
</cp:coreProperties>
</file>