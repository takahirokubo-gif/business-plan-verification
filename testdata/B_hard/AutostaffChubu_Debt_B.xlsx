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&quot;△&quot; #,##0"/>
    <numFmt numFmtId="165" formatCode="0.0%"/>
  </numFmts>
  <fonts count="5">
    <font>
      <name val="Calibri"/>
      <family val="2"/>
      <color theme="1"/>
      <sz val="11"/>
      <scheme val="minor"/>
    </font>
    <font>
      <name val="Yu Gothic"/>
      <b val="1"/>
      <color rgb="001A4F8B"/>
      <sz val="14"/>
    </font>
    <font>
      <name val="Yu Gothic"/>
      <color rgb="00737781"/>
      <sz val="9"/>
    </font>
    <font>
      <name val="Yu Gothic"/>
      <b val="1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ED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8B72"/>
    <outlinePr summaryBelow="1" summaryRight="1"/>
    <pageSetUpPr fitToPage="1"/>
  </sheetPr>
  <dimension ref="A1:N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>
      <c r="A1" s="1" t="inlineStr">
        <is>
          <t>Debt Schedule (Senior Loan)</t>
        </is>
      </c>
    </row>
    <row r="2">
      <c r="A2" s="2" t="inlineStr">
        <is>
          <t>(Unit: JPY thousands)</t>
        </is>
      </c>
      <c r="E2" s="3" t="inlineStr">
        <is>
          <t>Project Gear — Senior Facility</t>
        </is>
      </c>
    </row>
    <row r="4"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4" t="inlineStr">
        <is>
          <t>FY25</t>
        </is>
      </c>
      <c r="G4" s="4" t="inlineStr">
        <is>
          <t>FY26</t>
        </is>
      </c>
      <c r="H4" s="4" t="inlineStr">
        <is>
          <t>FY27</t>
        </is>
      </c>
      <c r="I4" s="4" t="inlineStr">
        <is>
          <t>FY28</t>
        </is>
      </c>
      <c r="J4" s="4" t="inlineStr">
        <is>
          <t>FY29</t>
        </is>
      </c>
      <c r="K4" s="4" t="inlineStr">
        <is>
          <t>FY30</t>
        </is>
      </c>
      <c r="L4" s="4" t="inlineStr">
        <is>
          <t>FY31</t>
        </is>
      </c>
      <c r="M4" s="4" t="inlineStr">
        <is>
          <t>FY32</t>
        </is>
      </c>
      <c r="N4" s="4" t="inlineStr">
        <is>
          <t>FY33</t>
        </is>
      </c>
    </row>
    <row r="5">
      <c r="C5" s="5" t="inlineStr">
        <is>
          <t>実績</t>
        </is>
      </c>
      <c r="D5" s="5" t="inlineStr">
        <is>
          <t>実績</t>
        </is>
      </c>
      <c r="E5" s="5" t="inlineStr">
        <is>
          <t>実績</t>
        </is>
      </c>
      <c r="F5" s="5" t="inlineStr">
        <is>
          <t>実績</t>
        </is>
      </c>
      <c r="G5" s="5" t="inlineStr">
        <is>
          <t>実績</t>
        </is>
      </c>
      <c r="H5" s="5" t="inlineStr">
        <is>
          <t>計画</t>
        </is>
      </c>
      <c r="I5" s="5" t="inlineStr">
        <is>
          <t>計画</t>
        </is>
      </c>
      <c r="J5" s="5" t="inlineStr">
        <is>
          <t>計画</t>
        </is>
      </c>
      <c r="K5" s="5" t="inlineStr">
        <is>
          <t>計画</t>
        </is>
      </c>
      <c r="L5" s="5" t="inlineStr">
        <is>
          <t>計画</t>
        </is>
      </c>
      <c r="M5" s="5" t="inlineStr">
        <is>
          <t>計画</t>
        </is>
      </c>
      <c r="N5" s="5" t="inlineStr">
        <is>
          <t>計画</t>
        </is>
      </c>
    </row>
    <row r="7">
      <c r="B7" s="6" t="inlineStr">
        <is>
          <t>Beginning Balance</t>
        </is>
      </c>
      <c r="H7" s="7" t="n">
        <v>6500000</v>
      </c>
      <c r="I7" s="7">
        <f>H9</f>
        <v/>
      </c>
      <c r="J7" s="7">
        <f>I9</f>
        <v/>
      </c>
      <c r="K7" s="7">
        <f>J9</f>
        <v/>
      </c>
      <c r="L7" s="7">
        <f>K9</f>
        <v/>
      </c>
      <c r="M7" s="7">
        <f>L9</f>
        <v/>
      </c>
      <c r="N7" s="7">
        <f>M9</f>
        <v/>
      </c>
    </row>
    <row r="8">
      <c r="B8" s="6" t="inlineStr">
        <is>
          <t>Mandatory Amortization</t>
        </is>
      </c>
      <c r="H8" s="7" t="n">
        <v>650000</v>
      </c>
      <c r="I8" s="7" t="n">
        <v>650000</v>
      </c>
      <c r="J8" s="7" t="n">
        <v>650000</v>
      </c>
      <c r="K8" s="7" t="n">
        <v>650000</v>
      </c>
      <c r="L8" s="7" t="n">
        <v>650000</v>
      </c>
      <c r="M8" s="7" t="n">
        <v>650000</v>
      </c>
      <c r="N8" s="7">
        <f>N7</f>
        <v/>
      </c>
    </row>
    <row r="9">
      <c r="B9" s="6" t="inlineStr">
        <is>
          <t>Ending Balance</t>
        </is>
      </c>
      <c r="H9" s="7">
        <f>H7-H8</f>
        <v/>
      </c>
      <c r="I9" s="7">
        <f>I7-I8</f>
        <v/>
      </c>
      <c r="J9" s="7">
        <f>J7-J8</f>
        <v/>
      </c>
      <c r="K9" s="7">
        <f>K7-K8</f>
        <v/>
      </c>
      <c r="L9" s="7">
        <f>L7-L8</f>
        <v/>
      </c>
      <c r="M9" s="7">
        <f>M7-M8</f>
        <v/>
      </c>
      <c r="N9" s="7">
        <f>N7-N8</f>
        <v/>
      </c>
    </row>
    <row r="10">
      <c r="B10" s="6" t="inlineStr">
        <is>
          <t>Average Balance</t>
        </is>
      </c>
      <c r="H10" s="7">
        <f>(H7+H9)/2</f>
        <v/>
      </c>
      <c r="I10" s="7">
        <f>(I7+I9)/2</f>
        <v/>
      </c>
      <c r="J10" s="7">
        <f>(J7+J9)/2</f>
        <v/>
      </c>
      <c r="K10" s="7">
        <f>(K7+K9)/2</f>
        <v/>
      </c>
      <c r="L10" s="7">
        <f>(L7+L9)/2</f>
        <v/>
      </c>
      <c r="M10" s="7">
        <f>(M7+M9)/2</f>
        <v/>
      </c>
      <c r="N10" s="7">
        <f>(N7+N9)/2</f>
        <v/>
      </c>
    </row>
    <row r="11">
      <c r="B11" s="6" t="inlineStr">
        <is>
          <t>Interest Rate (TIBOR+200bp)</t>
        </is>
      </c>
      <c r="H11" s="8" t="n">
        <v>0.022</v>
      </c>
      <c r="I11" s="8" t="n">
        <v>0.022</v>
      </c>
      <c r="J11" s="8" t="n">
        <v>0.022</v>
      </c>
      <c r="K11" s="8" t="n">
        <v>0.022</v>
      </c>
      <c r="L11" s="8" t="n">
        <v>0.022</v>
      </c>
      <c r="M11" s="8" t="n">
        <v>0.022</v>
      </c>
      <c r="N11" s="8" t="n">
        <v>0.022</v>
      </c>
    </row>
    <row r="12">
      <c r="B12" s="6" t="inlineStr">
        <is>
          <t>Interest Expense</t>
        </is>
      </c>
      <c r="H12" s="7">
        <f>ROUND(H10*H11,0)</f>
        <v/>
      </c>
      <c r="I12" s="7">
        <f>ROUND(I10*I11,0)</f>
        <v/>
      </c>
      <c r="J12" s="7">
        <f>ROUND(J10*J11,0)</f>
        <v/>
      </c>
      <c r="K12" s="7">
        <f>ROUND(K10*K11,0)</f>
        <v/>
      </c>
      <c r="L12" s="7">
        <f>ROUND(L10*L11,0)</f>
        <v/>
      </c>
      <c r="M12" s="7">
        <f>ROUND(M10*M11,0)</f>
        <v/>
      </c>
      <c r="N12" s="7">
        <f>ROUND(N10*N11,0)</f>
        <v/>
      </c>
    </row>
    <row r="14">
      <c r="B14" s="2" t="inlineStr">
        <is>
          <t>Note: Annual mandatory amortization of JPY 650,000 thousand; bullet repayment of the remaining balance in FY33.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2026-07-24T02:18:54Z</dcterms:created>
  <dcterms:modified xsi:type="dcterms:W3CDTF">2026-07-24T02:18:54Z</dcterms:modified>
</cp:coreProperties>
</file>